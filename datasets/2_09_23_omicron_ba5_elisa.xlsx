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l-my.sharepoint.com/personal/thanhmaipl_lbl_gov/Documents/Antibody - Brooke/LDRD_predictive pathogen/"/>
    </mc:Choice>
  </mc:AlternateContent>
  <xr:revisionPtr revIDLastSave="0" documentId="8_{950FB539-0727-4712-A36D-A9FCA463FD01}" xr6:coauthVersionLast="47" xr6:coauthVersionMax="47" xr10:uidLastSave="{00000000-0000-0000-0000-000000000000}"/>
  <bookViews>
    <workbookView xWindow="11424" yWindow="-3552" windowWidth="23232" windowHeight="12552" activeTab="1" xr2:uid="{00000000-000D-0000-FFFF-FFFF00000000}"/>
  </bookViews>
  <sheets>
    <sheet name="Wuhan" sheetId="1" r:id="rId1"/>
    <sheet name="Omicron BA1" sheetId="2" r:id="rId2"/>
    <sheet name="Omicron BA4+5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A45" i="3" l="1"/>
  <c r="A46" i="3" s="1"/>
  <c r="A47" i="3" s="1"/>
  <c r="A48" i="3" s="1"/>
  <c r="A49" i="3" s="1"/>
  <c r="A50" i="3" s="1"/>
  <c r="A51" i="3" s="1"/>
  <c r="A36" i="3"/>
  <c r="A37" i="3" s="1"/>
  <c r="A38" i="3" s="1"/>
  <c r="A39" i="3" s="1"/>
  <c r="A40" i="3" s="1"/>
  <c r="A41" i="3" s="1"/>
  <c r="A42" i="3" s="1"/>
  <c r="A45" i="2"/>
  <c r="A46" i="2" s="1"/>
  <c r="A47" i="2" s="1"/>
  <c r="A48" i="2" s="1"/>
  <c r="A49" i="2" s="1"/>
  <c r="A50" i="2" s="1"/>
  <c r="A51" i="2" s="1"/>
  <c r="A36" i="2"/>
  <c r="A37" i="2" s="1"/>
  <c r="A38" i="2" s="1"/>
  <c r="A39" i="2" s="1"/>
  <c r="A40" i="2" s="1"/>
  <c r="A41" i="2" s="1"/>
  <c r="A42" i="2" s="1"/>
  <c r="A45" i="1"/>
  <c r="A46" i="1" s="1"/>
  <c r="A47" i="1" s="1"/>
  <c r="A48" i="1" s="1"/>
  <c r="A49" i="1" s="1"/>
  <c r="A50" i="1" s="1"/>
  <c r="A51" i="1" s="1"/>
  <c r="A36" i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<sst xmlns="http://schemas.openxmlformats.org/spreadsheetml/2006/main" count="333" uniqueCount="102">
  <si>
    <t>Method name: 384 hIgG ELISA 450</t>
  </si>
  <si>
    <t/>
  </si>
  <si>
    <t>Application: SparkControl</t>
  </si>
  <si>
    <t>V3.1</t>
  </si>
  <si>
    <t>Device: Spark</t>
  </si>
  <si>
    <t>Serial number: 2008010223</t>
  </si>
  <si>
    <t>Firmware:</t>
  </si>
  <si>
    <t>LUM:V5.2.4|ABS:V4.3.2|ABS_MEX:V5.1.1|USBCAM:V4.90.34|MTP:V14.2.11|FLUOR:V5.1.4|FLUOR_FP:V5.0.2|FLUOR_BOTTOM:V5.0.2|FLUOR_MEM:V5.1.1|FLUOR_MEX:V5.1.1|FIM:V1.1.9|GCM:V3.0.2|INJ:V3.1.1|PODI:V1.11.2</t>
  </si>
  <si>
    <t>Date:</t>
  </si>
  <si>
    <t>2023-02-09</t>
  </si>
  <si>
    <t>Time:</t>
  </si>
  <si>
    <t>2:45 PM</t>
  </si>
  <si>
    <t>System</t>
  </si>
  <si>
    <t>SPARK2002</t>
  </si>
  <si>
    <t>User</t>
  </si>
  <si>
    <t>SPARK2002\SparkUser</t>
  </si>
  <si>
    <t>Plate</t>
  </si>
  <si>
    <t>[NUN384ft] - Thermo Fisher Scientific-Nunclon 384 Flat Transparent Cat. No.: 164688/164555/265196/242757/242765/262160/265202/265203/464718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</si>
  <si>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</si>
  <si>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</si>
  <si>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</si>
  <si>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</si>
  <si>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</si>
  <si>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</si>
  <si>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</si>
  <si>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</si>
  <si>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HIgG ELISA 384</t>
  </si>
  <si>
    <t>Name</t>
  </si>
  <si>
    <t>NUN384ft</t>
  </si>
  <si>
    <t>Plate layout</t>
  </si>
  <si>
    <t>Plate area</t>
  </si>
  <si>
    <t>A1-P24</t>
  </si>
  <si>
    <t>Mode</t>
  </si>
  <si>
    <t>Measurement wavelength [nm]</t>
  </si>
  <si>
    <t>Number of flashes</t>
  </si>
  <si>
    <t>Settle time [ms]</t>
  </si>
  <si>
    <t>Part of Plate</t>
  </si>
  <si>
    <t>Start Time</t>
  </si>
  <si>
    <t>2023-02-09 14:44:37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</si>
  <si>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</si>
  <si>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</si>
  <si>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</si>
  <si>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</si>
  <si>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</si>
  <si>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</si>
  <si>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</si>
  <si>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</si>
  <si>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</si>
  <si>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</si>
  <si>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</si>
  <si>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</si>
  <si>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</si>
  <si>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</si>
  <si>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</si>
  <si>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</si>
  <si>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</si>
  <si>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</si>
  <si>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</si>
  <si>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</si>
  <si>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</si>
  <si>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</si>
  <si>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</si>
  <si>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</si>
  <si>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</si>
  <si>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</si>
  <si>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</si>
  <si>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2023-02-09 14:45:42</t>
  </si>
  <si>
    <t>2023-02-09 14:47:25</t>
  </si>
  <si>
    <t>2023-02-09 14:46:21</t>
  </si>
  <si>
    <t>2:47 PM</t>
  </si>
  <si>
    <t>2023-02-09 14:49:16</t>
  </si>
  <si>
    <t>2023-02-09 14:48:11</t>
  </si>
  <si>
    <t>2:49 PM</t>
  </si>
  <si>
    <t>AP1B1</t>
  </si>
  <si>
    <t>AP1B5</t>
  </si>
  <si>
    <t>AP1C5</t>
  </si>
  <si>
    <t>AP2A12</t>
  </si>
  <si>
    <t>AP2D12</t>
  </si>
  <si>
    <t>BP1C8</t>
  </si>
  <si>
    <t>BP2D3</t>
  </si>
  <si>
    <t>BP2G12</t>
  </si>
  <si>
    <t>huACE2-Fc</t>
  </si>
  <si>
    <t>BP3A10</t>
  </si>
  <si>
    <t>BP3B3</t>
  </si>
  <si>
    <t>BP3C5</t>
  </si>
  <si>
    <t>BP3D5</t>
  </si>
  <si>
    <t>EP1F4</t>
  </si>
  <si>
    <t>KP1D5</t>
  </si>
  <si>
    <t>IgG</t>
  </si>
  <si>
    <t>Wuhan</t>
  </si>
  <si>
    <t>Beta</t>
  </si>
  <si>
    <t>Gamma</t>
  </si>
  <si>
    <t>Mu</t>
  </si>
  <si>
    <t>Lambda</t>
  </si>
  <si>
    <t>Delta</t>
  </si>
  <si>
    <t xml:space="preserve">Omicron </t>
  </si>
  <si>
    <t>BA4/BA5</t>
  </si>
  <si>
    <t>BP2A6</t>
  </si>
  <si>
    <t>--</t>
  </si>
  <si>
    <t>BP1B1</t>
  </si>
  <si>
    <t>Not tested</t>
  </si>
  <si>
    <t>RBD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</si>
</sst>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name val="Calibri"/>
      <family val="2"/>
    </font>
    <font>
      <sz val="12"/>
      <color rgb="FFFFFFFF"/>
      <name val="Calibri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3" borderId="1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6" fillId="10" borderId="3" xfId="0" applyNumberFormat="1" applyFont="1" applyFill="1" applyBorder="1" applyAlignment="1">
      <alignment horizontal="center"/>
    </xf>
    <xf numFmtId="2" fontId="6" fillId="10" borderId="4" xfId="0" applyNumberFormat="1" applyFont="1" applyFill="1" applyBorder="1" applyAlignment="1">
      <alignment horizontal="center"/>
    </xf>
    <xf numFmtId="2" fontId="6" fillId="10" borderId="5" xfId="0" applyNumberFormat="1" applyFont="1" applyFill="1" applyBorder="1" applyAlignment="1">
      <alignment horizontal="center"/>
    </xf>
    <xf numFmtId="2" fontId="6" fillId="11" borderId="3" xfId="0" applyNumberFormat="1" applyFont="1" applyFill="1" applyBorder="1" applyAlignment="1">
      <alignment horizontal="center"/>
    </xf>
    <xf numFmtId="2" fontId="6" fillId="11" borderId="4" xfId="0" applyNumberFormat="1" applyFont="1" applyFill="1" applyBorder="1" applyAlignment="1">
      <alignment horizontal="center"/>
    </xf>
    <xf numFmtId="2" fontId="6" fillId="11" borderId="5" xfId="0" applyNumberFormat="1" applyFont="1" applyFill="1" applyBorder="1" applyAlignment="1">
      <alignment horizontal="center"/>
    </xf>
    <xf numFmtId="2" fontId="5" fillId="12" borderId="2" xfId="0" applyNumberFormat="1" applyFont="1" applyFill="1" applyBorder="1" applyAlignment="1">
      <alignment horizontal="center"/>
    </xf>
    <xf numFmtId="2" fontId="5" fillId="13" borderId="3" xfId="0" applyNumberFormat="1" applyFont="1" applyFill="1" applyBorder="1" applyAlignment="1">
      <alignment horizontal="center"/>
    </xf>
    <xf numFmtId="2" fontId="5" fillId="13" borderId="4" xfId="0" applyNumberFormat="1" applyFont="1" applyFill="1" applyBorder="1" applyAlignment="1">
      <alignment horizontal="center"/>
    </xf>
    <xf numFmtId="2" fontId="5" fillId="13" borderId="5" xfId="0" applyNumberFormat="1" applyFont="1" applyFill="1" applyBorder="1" applyAlignment="1">
      <alignment horizontal="center"/>
    </xf>
    <xf numFmtId="2" fontId="5" fillId="7" borderId="3" xfId="0" applyNumberFormat="1" applyFont="1" applyFill="1" applyBorder="1" applyAlignment="1">
      <alignment horizontal="center"/>
    </xf>
    <xf numFmtId="2" fontId="5" fillId="7" borderId="4" xfId="0" applyNumberFormat="1" applyFont="1" applyFill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2" fontId="5" fillId="10" borderId="3" xfId="0" applyNumberFormat="1" applyFont="1" applyFill="1" applyBorder="1" applyAlignment="1">
      <alignment horizontal="center"/>
    </xf>
    <xf numFmtId="2" fontId="5" fillId="10" borderId="4" xfId="0" applyNumberFormat="1" applyFont="1" applyFill="1" applyBorder="1" applyAlignment="1">
      <alignment horizontal="center"/>
    </xf>
    <xf numFmtId="2" fontId="5" fillId="10" borderId="5" xfId="0" applyNumberFormat="1" applyFont="1" applyFill="1" applyBorder="1" applyAlignment="1">
      <alignment horizontal="center"/>
    </xf>
    <xf numFmtId="2" fontId="5" fillId="14" borderId="3" xfId="0" applyNumberFormat="1" applyFont="1" applyFill="1" applyBorder="1" applyAlignment="1">
      <alignment horizontal="center"/>
    </xf>
    <xf numFmtId="2" fontId="5" fillId="14" borderId="4" xfId="0" applyNumberFormat="1" applyFont="1" applyFill="1" applyBorder="1" applyAlignment="1">
      <alignment horizontal="center"/>
    </xf>
    <xf numFmtId="2" fontId="5" fillId="14" borderId="5" xfId="0" applyNumberFormat="1" applyFont="1" applyFill="1" applyBorder="1" applyAlignment="1">
      <alignment horizontal="center"/>
    </xf>
    <xf numFmtId="2" fontId="5" fillId="8" borderId="3" xfId="0" applyNumberFormat="1" applyFont="1" applyFill="1" applyBorder="1" applyAlignment="1">
      <alignment horizontal="center"/>
    </xf>
    <xf numFmtId="2" fontId="5" fillId="8" borderId="4" xfId="0" applyNumberFormat="1" applyFont="1" applyFill="1" applyBorder="1" applyAlignment="1">
      <alignment horizontal="center"/>
    </xf>
    <xf numFmtId="2" fontId="5" fillId="8" borderId="5" xfId="0" applyNumberFormat="1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2" fontId="6" fillId="4" borderId="2" xfId="0" applyNumberFormat="1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center"/>
    </xf>
    <xf numFmtId="2" fontId="6" fillId="7" borderId="3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5" xfId="0" applyNumberFormat="1" applyFont="1" applyFill="1" applyBorder="1" applyAlignment="1">
      <alignment horizontal="center"/>
    </xf>
    <xf numFmtId="2" fontId="6" fillId="8" borderId="3" xfId="0" applyNumberFormat="1" applyFont="1" applyFill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2" fontId="6" fillId="8" borderId="5" xfId="0" applyNumberFormat="1" applyFont="1" applyFill="1" applyBorder="1" applyAlignment="1">
      <alignment horizontal="center"/>
    </xf>
    <xf numFmtId="2" fontId="6" fillId="9" borderId="3" xfId="0" applyNumberFormat="1" applyFont="1" applyFill="1" applyBorder="1" applyAlignment="1">
      <alignment horizontal="center"/>
    </xf>
    <xf numFmtId="2" fontId="6" fillId="9" borderId="4" xfId="0" applyNumberFormat="1" applyFont="1" applyFill="1" applyBorder="1" applyAlignment="1">
      <alignment horizontal="center"/>
    </xf>
    <xf numFmtId="2" fontId="6" fillId="9" borderId="5" xfId="0" applyNumberFormat="1" applyFont="1" applyFill="1" applyBorder="1" applyAlignment="1">
      <alignment horizontal="center"/>
    </xf>
    <xf numFmtId="2" fontId="6" fillId="16" borderId="2" xfId="0" applyNumberFormat="1" applyFont="1" applyFill="1" applyBorder="1" applyAlignment="1">
      <alignment horizontal="center"/>
    </xf>
    <xf numFmtId="0" fontId="1" fillId="16" borderId="0" xfId="0" applyFont="1" applyFill="1"/>
  </cellXfs>
  <cellStyles count="2">
    <cellStyle name="Normal" xfId="0" builtinId="0"/>
    <cellStyle name="Normal 2" xfId="1" xr:uid="{3A563DF5-6AB8-453B-81DB-AFD4B210C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opLeftCell="A29" zoomScale="70" zoomScaleNormal="70" workbookViewId="0">
      <selection activeCell="N44" sqref="N44:P50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24.5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5.8" x14ac:dyDescent="0.5">
      <c r="A34" s="5" t="s">
        <v>40</v>
      </c>
      <c r="B34" s="32" t="s">
        <v>73</v>
      </c>
      <c r="C34" s="32"/>
      <c r="D34" s="32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6"/>
      <c r="M34" s="37"/>
      <c r="N34" s="38" t="s">
        <v>77</v>
      </c>
      <c r="O34" s="39"/>
      <c r="P34" s="40"/>
      <c r="Q34" s="41" t="s">
        <v>78</v>
      </c>
      <c r="R34" s="42"/>
      <c r="S34" s="43"/>
      <c r="T34" s="7" t="s">
        <v>79</v>
      </c>
      <c r="U34" s="8"/>
      <c r="V34" s="9"/>
      <c r="W34" s="10" t="s">
        <v>80</v>
      </c>
      <c r="X34" s="11"/>
      <c r="Y34" s="12"/>
    </row>
    <row r="35" spans="1:25" x14ac:dyDescent="0.3">
      <c r="A35" s="3">
        <v>10</v>
      </c>
      <c r="B35" s="1">
        <v>3.0438000000000001</v>
      </c>
      <c r="C35" s="1">
        <v>3.1286</v>
      </c>
      <c r="D35" s="1">
        <v>2.7738999999999998</v>
      </c>
      <c r="E35" s="1">
        <v>2.1520999999999999</v>
      </c>
      <c r="F35" s="1">
        <v>1.8427</v>
      </c>
      <c r="G35" s="1">
        <v>2.2705000000000002</v>
      </c>
      <c r="H35" s="1">
        <v>2.2233000000000001</v>
      </c>
      <c r="I35" s="1">
        <v>2.7229999999999999</v>
      </c>
      <c r="J35" s="1">
        <v>2.5571999999999999</v>
      </c>
      <c r="K35" s="1">
        <v>2.9636999999999998</v>
      </c>
      <c r="L35" s="1">
        <v>2.5764999999999998</v>
      </c>
      <c r="M35" s="1">
        <v>3.0310000000000001</v>
      </c>
      <c r="N35" s="1">
        <v>3.1854</v>
      </c>
      <c r="O35" s="1">
        <v>2.5474999999999999</v>
      </c>
      <c r="P35" s="1">
        <v>3.0657999999999999</v>
      </c>
      <c r="Q35" s="1">
        <v>3.3420000000000001</v>
      </c>
      <c r="R35" s="1">
        <v>3.2913999999999999</v>
      </c>
      <c r="S35" s="1">
        <v>3.1604000000000001</v>
      </c>
      <c r="T35" s="1">
        <v>0.61960000000000004</v>
      </c>
      <c r="U35" s="1">
        <v>0.65849999999999997</v>
      </c>
      <c r="V35" s="1">
        <v>0.70809999999999995</v>
      </c>
      <c r="W35" s="1">
        <v>3.1785000000000001</v>
      </c>
      <c r="X35" s="1">
        <v>3.2932999999999999</v>
      </c>
      <c r="Y35" s="1">
        <v>3.2471000000000001</v>
      </c>
    </row>
    <row r="36" spans="1:25" x14ac:dyDescent="0.3">
      <c r="A36" s="3">
        <f>A35/3</f>
        <v>3.3333333333333335</v>
      </c>
      <c r="B36" s="1">
        <v>2.9073000000000002</v>
      </c>
      <c r="C36" s="1">
        <v>3.0998000000000001</v>
      </c>
      <c r="D36" s="1">
        <v>2.8871000000000002</v>
      </c>
      <c r="E36" s="1">
        <v>1.9614</v>
      </c>
      <c r="F36" s="1">
        <v>1.1686000000000001</v>
      </c>
      <c r="G36" s="1">
        <v>1.6657999999999999</v>
      </c>
      <c r="H36" s="1">
        <v>2.7275999999999998</v>
      </c>
      <c r="I36" s="1">
        <v>3.1577999999999999</v>
      </c>
      <c r="J36" s="1">
        <v>2.1595</v>
      </c>
      <c r="K36" s="1">
        <v>2.7772999999999999</v>
      </c>
      <c r="L36" s="1">
        <v>3.1581000000000001</v>
      </c>
      <c r="M36" s="1">
        <v>3.0310999999999999</v>
      </c>
      <c r="N36" s="1">
        <v>3.3109999999999999</v>
      </c>
      <c r="O36" s="1">
        <v>2.9409999999999998</v>
      </c>
      <c r="P36" s="1">
        <v>2.8993000000000002</v>
      </c>
      <c r="Q36" s="1">
        <v>2.5396000000000001</v>
      </c>
      <c r="R36" s="1">
        <v>2.8142</v>
      </c>
      <c r="S36" s="1">
        <v>3.2042000000000002</v>
      </c>
      <c r="T36" s="1">
        <v>0.24560000000000001</v>
      </c>
      <c r="U36" s="1">
        <v>0.29870000000000002</v>
      </c>
      <c r="V36" s="1">
        <v>0.29270000000000002</v>
      </c>
      <c r="W36" s="1">
        <v>2.6488</v>
      </c>
      <c r="X36" s="1">
        <v>2.6154000000000002</v>
      </c>
      <c r="Y36" s="1">
        <v>2.7869000000000002</v>
      </c>
    </row>
    <row r="37" spans="1:25" x14ac:dyDescent="0.3">
      <c r="A37" s="3">
        <f t="shared" ref="A37:A42" si="0">A36/3</f>
        <v>1.1111111111111112</v>
      </c>
      <c r="B37" s="1">
        <v>2.94</v>
      </c>
      <c r="C37" s="1">
        <v>3.0175000000000001</v>
      </c>
      <c r="D37" s="1">
        <v>2.7231999999999998</v>
      </c>
      <c r="E37" s="1">
        <v>1.4207000000000001</v>
      </c>
      <c r="F37" s="1">
        <v>0.8165</v>
      </c>
      <c r="G37" s="1">
        <v>1.1314</v>
      </c>
      <c r="H37" s="1">
        <v>2.3028</v>
      </c>
      <c r="I37" s="1">
        <v>2.7719999999999998</v>
      </c>
      <c r="J37" s="1">
        <v>2.1911999999999998</v>
      </c>
      <c r="K37" s="1">
        <v>2.5914999999999999</v>
      </c>
      <c r="L37" s="1">
        <v>1.964</v>
      </c>
      <c r="M37" s="1">
        <v>3.2235999999999998</v>
      </c>
      <c r="N37" s="1">
        <v>3.1947999999999999</v>
      </c>
      <c r="O37" s="1">
        <v>3.3471000000000002</v>
      </c>
      <c r="P37" s="1">
        <v>3.2016</v>
      </c>
      <c r="Q37" s="1">
        <v>2.6617999999999999</v>
      </c>
      <c r="R37" s="1">
        <v>2.6196000000000002</v>
      </c>
      <c r="S37" s="1">
        <v>2.4765000000000001</v>
      </c>
      <c r="T37" s="1">
        <v>0.18090000000000001</v>
      </c>
      <c r="U37" s="1">
        <v>0.18049999999999999</v>
      </c>
      <c r="V37" s="1">
        <v>0.18940000000000001</v>
      </c>
      <c r="W37" s="1">
        <v>1.9847999999999999</v>
      </c>
      <c r="X37" s="1">
        <v>2.0895000000000001</v>
      </c>
      <c r="Y37" s="1">
        <v>1.9499</v>
      </c>
    </row>
    <row r="38" spans="1:25" x14ac:dyDescent="0.3">
      <c r="A38" s="3">
        <f t="shared" si="0"/>
        <v>0.37037037037037041</v>
      </c>
      <c r="B38" s="1">
        <v>2.3450000000000002</v>
      </c>
      <c r="C38" s="1">
        <v>2.1848000000000001</v>
      </c>
      <c r="D38" s="1">
        <v>2.6778</v>
      </c>
      <c r="E38" s="1">
        <v>1.0734999999999999</v>
      </c>
      <c r="F38" s="1">
        <v>0.60740000000000005</v>
      </c>
      <c r="G38" s="1">
        <v>0.93920000000000003</v>
      </c>
      <c r="H38" s="1">
        <v>1.9619</v>
      </c>
      <c r="I38" s="1">
        <v>3.0375000000000001</v>
      </c>
      <c r="J38" s="1">
        <v>1.6969000000000001</v>
      </c>
      <c r="K38" s="1">
        <v>3.0838999999999999</v>
      </c>
      <c r="L38" s="1">
        <v>3.3296000000000001</v>
      </c>
      <c r="M38" s="1">
        <v>3.0461999999999998</v>
      </c>
      <c r="N38" s="1">
        <v>3.2726000000000002</v>
      </c>
      <c r="O38" s="1">
        <v>3.3268</v>
      </c>
      <c r="P38" s="1">
        <v>2.9119999999999999</v>
      </c>
      <c r="Q38" s="1">
        <v>1.3757999999999999</v>
      </c>
      <c r="R38" s="1">
        <v>1.4612000000000001</v>
      </c>
      <c r="S38" s="1">
        <v>1.2387999999999999</v>
      </c>
      <c r="T38" s="1">
        <v>0.1079</v>
      </c>
      <c r="U38" s="1">
        <v>0.1118</v>
      </c>
      <c r="V38" s="1">
        <v>0.1183</v>
      </c>
      <c r="W38" s="1">
        <v>1.0511999999999999</v>
      </c>
      <c r="X38" s="1">
        <v>1.083</v>
      </c>
      <c r="Y38" s="1">
        <v>1.2101999999999999</v>
      </c>
    </row>
    <row r="39" spans="1:25" x14ac:dyDescent="0.3">
      <c r="A39" s="3">
        <f t="shared" si="0"/>
        <v>0.1234567901234568</v>
      </c>
      <c r="B39" s="1">
        <v>1.5976999999999999</v>
      </c>
      <c r="C39" s="1">
        <v>1.5137</v>
      </c>
      <c r="D39" s="1">
        <v>1.8755999999999999</v>
      </c>
      <c r="E39" s="1">
        <v>0.63080000000000003</v>
      </c>
      <c r="F39" s="1">
        <v>0.25169999999999998</v>
      </c>
      <c r="G39" s="1">
        <v>0.52380000000000004</v>
      </c>
      <c r="H39" s="1">
        <v>1.9711000000000001</v>
      </c>
      <c r="I39" s="1">
        <v>2.7079</v>
      </c>
      <c r="J39" s="1">
        <v>1.8411999999999999</v>
      </c>
      <c r="K39" s="1">
        <v>3.2429000000000001</v>
      </c>
      <c r="L39" s="1">
        <v>3.3231000000000002</v>
      </c>
      <c r="M39" s="1">
        <v>3.3378999999999999</v>
      </c>
      <c r="N39" s="1">
        <v>3.3736999999999999</v>
      </c>
      <c r="O39" s="1">
        <v>3.3492999999999999</v>
      </c>
      <c r="P39" s="1">
        <v>3.3441999999999998</v>
      </c>
      <c r="Q39" s="1">
        <v>0.78339999999999999</v>
      </c>
      <c r="R39" s="1">
        <v>0.71679999999999999</v>
      </c>
      <c r="S39" s="1">
        <v>0.76049999999999995</v>
      </c>
      <c r="T39" s="1">
        <v>8.7400000000000005E-2</v>
      </c>
      <c r="U39" s="1">
        <v>8.6900000000000005E-2</v>
      </c>
      <c r="V39" s="1">
        <v>9.0399999999999994E-2</v>
      </c>
      <c r="W39" s="1">
        <v>0.53439999999999999</v>
      </c>
      <c r="X39" s="1">
        <v>0.62180000000000002</v>
      </c>
      <c r="Y39" s="1">
        <v>0.5232</v>
      </c>
    </row>
    <row r="40" spans="1:25" x14ac:dyDescent="0.3">
      <c r="A40" s="3">
        <f t="shared" si="0"/>
        <v>4.1152263374485597E-2</v>
      </c>
      <c r="B40" s="1">
        <v>0.94430000000000003</v>
      </c>
      <c r="C40" s="1">
        <v>0.65339999999999998</v>
      </c>
      <c r="D40" s="1">
        <v>0.9204</v>
      </c>
      <c r="E40" s="1">
        <v>0.23599999999999999</v>
      </c>
      <c r="F40" s="1">
        <v>0.17050000000000001</v>
      </c>
      <c r="G40" s="1">
        <v>0.26140000000000002</v>
      </c>
      <c r="H40" s="1">
        <v>1.454</v>
      </c>
      <c r="I40" s="1">
        <v>2.2359</v>
      </c>
      <c r="J40" s="1">
        <v>1.4665999999999999</v>
      </c>
      <c r="K40" s="1">
        <v>3.2822</v>
      </c>
      <c r="L40" s="1">
        <v>3.3205</v>
      </c>
      <c r="M40" s="1">
        <v>3.2823000000000002</v>
      </c>
      <c r="N40" s="1">
        <v>3.3407</v>
      </c>
      <c r="O40" s="1">
        <v>3.2555000000000001</v>
      </c>
      <c r="P40" s="1">
        <v>3.2524000000000002</v>
      </c>
      <c r="Q40" s="1">
        <v>0.38140000000000002</v>
      </c>
      <c r="R40" s="1">
        <v>0.3604</v>
      </c>
      <c r="S40" s="1">
        <v>0.36170000000000002</v>
      </c>
      <c r="T40" s="1">
        <v>7.7799999999999994E-2</v>
      </c>
      <c r="U40" s="1">
        <v>7.51E-2</v>
      </c>
      <c r="V40" s="1">
        <v>7.7299999999999994E-2</v>
      </c>
      <c r="W40" s="1">
        <v>0.26939999999999997</v>
      </c>
      <c r="X40" s="1">
        <v>0.27750000000000002</v>
      </c>
      <c r="Y40" s="1">
        <v>0.2722</v>
      </c>
    </row>
    <row r="41" spans="1:25" x14ac:dyDescent="0.3">
      <c r="A41" s="3">
        <f t="shared" si="0"/>
        <v>1.3717421124828532E-2</v>
      </c>
      <c r="B41" s="1">
        <v>0.41710000000000003</v>
      </c>
      <c r="C41" s="1">
        <v>0.375</v>
      </c>
      <c r="D41" s="1">
        <v>0.48049999999999998</v>
      </c>
      <c r="E41" s="1">
        <v>0.1421</v>
      </c>
      <c r="F41" s="1">
        <v>0.14549999999999999</v>
      </c>
      <c r="G41" s="1">
        <v>0.27289999999999998</v>
      </c>
      <c r="H41" s="1">
        <v>1.3438000000000001</v>
      </c>
      <c r="I41" s="1">
        <v>2.1827000000000001</v>
      </c>
      <c r="J41" s="1">
        <v>1.4927999999999999</v>
      </c>
      <c r="K41" s="1">
        <v>2.9893999999999998</v>
      </c>
      <c r="L41" s="1">
        <v>3.1793999999999998</v>
      </c>
      <c r="M41" s="1">
        <v>3.3462999999999998</v>
      </c>
      <c r="N41" s="1">
        <v>3.1966999999999999</v>
      </c>
      <c r="O41" s="1">
        <v>3.2029999999999998</v>
      </c>
      <c r="P41" s="1">
        <v>3.2835000000000001</v>
      </c>
      <c r="Q41" s="1">
        <v>0.20430000000000001</v>
      </c>
      <c r="R41" s="1">
        <v>0.20300000000000001</v>
      </c>
      <c r="S41" s="1">
        <v>0.1832</v>
      </c>
      <c r="T41" s="1">
        <v>7.4099999999999999E-2</v>
      </c>
      <c r="U41" s="1">
        <v>7.5300000000000006E-2</v>
      </c>
      <c r="V41" s="1">
        <v>7.7700000000000005E-2</v>
      </c>
      <c r="W41" s="1">
        <v>0.1734</v>
      </c>
      <c r="X41" s="1">
        <v>0.16539999999999999</v>
      </c>
      <c r="Y41" s="1">
        <v>0.1951</v>
      </c>
    </row>
    <row r="42" spans="1:25" x14ac:dyDescent="0.3">
      <c r="A42" s="3">
        <f t="shared" si="0"/>
        <v>4.5724737082761769E-3</v>
      </c>
      <c r="B42" s="1">
        <v>0.2213</v>
      </c>
      <c r="C42" s="1">
        <v>0.19040000000000001</v>
      </c>
      <c r="D42" s="1">
        <v>0.25069999999999998</v>
      </c>
      <c r="E42" s="1">
        <v>0.13239999999999999</v>
      </c>
      <c r="F42" s="1">
        <v>9.6100000000000005E-2</v>
      </c>
      <c r="G42" s="1">
        <v>0.104</v>
      </c>
      <c r="H42" s="1">
        <v>1.1193</v>
      </c>
      <c r="I42" s="1">
        <v>2</v>
      </c>
      <c r="J42" s="1">
        <v>0.97430000000000005</v>
      </c>
      <c r="K42" s="1">
        <v>2.6894</v>
      </c>
      <c r="L42" s="1">
        <v>2.8536999999999999</v>
      </c>
      <c r="M42" s="1">
        <v>2.9076</v>
      </c>
      <c r="N42" s="1">
        <v>2.5895000000000001</v>
      </c>
      <c r="O42" s="1">
        <v>2.7746</v>
      </c>
      <c r="P42" s="1">
        <v>2.5171999999999999</v>
      </c>
      <c r="Q42" s="1">
        <v>0.1273</v>
      </c>
      <c r="R42" s="1">
        <v>0.11700000000000001</v>
      </c>
      <c r="S42" s="1">
        <v>0.1089</v>
      </c>
      <c r="T42" s="1">
        <v>7.51E-2</v>
      </c>
      <c r="U42" s="1">
        <v>7.2999999999999995E-2</v>
      </c>
      <c r="V42" s="1">
        <v>7.4099999999999999E-2</v>
      </c>
      <c r="W42" s="1">
        <v>0.11119999999999999</v>
      </c>
      <c r="X42" s="1">
        <v>0.1216</v>
      </c>
      <c r="Y42" s="1">
        <v>0.111</v>
      </c>
    </row>
    <row r="43" spans="1:25" ht="28.8" x14ac:dyDescent="0.55000000000000004">
      <c r="A43" s="6"/>
      <c r="B43" s="13" t="s">
        <v>82</v>
      </c>
      <c r="C43" s="13"/>
      <c r="D43" s="13"/>
      <c r="E43" s="14" t="s">
        <v>83</v>
      </c>
      <c r="F43" s="15"/>
      <c r="G43" s="16"/>
      <c r="H43" s="17" t="s">
        <v>84</v>
      </c>
      <c r="I43" s="18"/>
      <c r="J43" s="19"/>
      <c r="K43" s="20" t="s">
        <v>85</v>
      </c>
      <c r="L43" s="21"/>
      <c r="M43" s="22"/>
      <c r="N43" s="23" t="s">
        <v>86</v>
      </c>
      <c r="O43" s="24"/>
      <c r="P43" s="25"/>
      <c r="Q43" s="17" t="s">
        <v>87</v>
      </c>
      <c r="R43" s="18"/>
      <c r="S43" s="19"/>
      <c r="T43" s="26" t="s">
        <v>88</v>
      </c>
      <c r="U43" s="27"/>
      <c r="V43" s="28"/>
      <c r="W43" s="29" t="s">
        <v>81</v>
      </c>
      <c r="X43" s="30"/>
      <c r="Y43" s="31"/>
    </row>
    <row r="44" spans="1:25" x14ac:dyDescent="0.3">
      <c r="A44" s="3">
        <v>10</v>
      </c>
      <c r="B44" s="1">
        <v>3.1962999999999999</v>
      </c>
      <c r="C44" s="1">
        <v>2.8936999999999999</v>
      </c>
      <c r="D44" s="1">
        <v>2.8275999999999999</v>
      </c>
      <c r="E44" s="1">
        <v>3.0985</v>
      </c>
      <c r="F44" s="1">
        <v>2.9899</v>
      </c>
      <c r="G44" s="1">
        <v>2.9626999999999999</v>
      </c>
      <c r="H44" s="1">
        <v>1.4483999999999999</v>
      </c>
      <c r="I44" s="1">
        <v>1.0978000000000001</v>
      </c>
      <c r="J44" s="1">
        <v>1.546</v>
      </c>
      <c r="K44" s="1">
        <v>2.8397999999999999</v>
      </c>
      <c r="L44" s="1">
        <v>3.0857000000000001</v>
      </c>
      <c r="M44" s="1">
        <v>2.9619</v>
      </c>
      <c r="N44" s="1">
        <v>1.327</v>
      </c>
      <c r="O44" s="1">
        <v>1.1733</v>
      </c>
      <c r="P44" s="1">
        <v>1.0507</v>
      </c>
      <c r="Q44" s="1">
        <v>3.1501999999999999</v>
      </c>
      <c r="R44" s="1">
        <v>3.2427000000000001</v>
      </c>
      <c r="S44" s="1">
        <v>3.2195999999999998</v>
      </c>
      <c r="T44" s="1">
        <v>9.8699999999999996E-2</v>
      </c>
      <c r="U44" s="1">
        <v>9.0399999999999994E-2</v>
      </c>
      <c r="V44" s="1">
        <v>0.1208</v>
      </c>
      <c r="W44" s="1">
        <v>3.3285</v>
      </c>
      <c r="X44" s="1">
        <v>3.4318</v>
      </c>
      <c r="Y44" s="1">
        <v>3.3997000000000002</v>
      </c>
    </row>
    <row r="45" spans="1:25" x14ac:dyDescent="0.3">
      <c r="A45" s="3">
        <f>A44/3</f>
        <v>3.3333333333333335</v>
      </c>
      <c r="B45" s="1">
        <v>3.1179999999999999</v>
      </c>
      <c r="C45" s="1">
        <v>3.2686000000000002</v>
      </c>
      <c r="D45" s="1">
        <v>2.9540999999999999</v>
      </c>
      <c r="E45" s="1">
        <v>3.1293000000000002</v>
      </c>
      <c r="F45" s="1">
        <v>2.6983000000000001</v>
      </c>
      <c r="G45" s="1">
        <v>3.0868000000000002</v>
      </c>
      <c r="H45" s="1">
        <v>0.57920000000000005</v>
      </c>
      <c r="I45" s="1">
        <v>0.51390000000000002</v>
      </c>
      <c r="J45" s="1">
        <v>0.61699999999999999</v>
      </c>
      <c r="K45" s="1">
        <v>2.8805000000000001</v>
      </c>
      <c r="L45" s="1">
        <v>3.2713000000000001</v>
      </c>
      <c r="M45" s="1">
        <v>3.2728999999999999</v>
      </c>
      <c r="N45" s="1">
        <v>0.42459999999999998</v>
      </c>
      <c r="O45" s="1">
        <v>0.44219999999999998</v>
      </c>
      <c r="P45" s="1">
        <v>0.44429999999999997</v>
      </c>
      <c r="Q45" s="1">
        <v>3.3178000000000001</v>
      </c>
      <c r="R45" s="1">
        <v>3.0886999999999998</v>
      </c>
      <c r="S45" s="1">
        <v>2.4582000000000002</v>
      </c>
      <c r="T45" s="1">
        <v>7.46E-2</v>
      </c>
      <c r="U45" s="1">
        <v>7.9200000000000007E-2</v>
      </c>
      <c r="V45" s="1">
        <v>7.46E-2</v>
      </c>
      <c r="W45" s="1">
        <v>3.0882999999999998</v>
      </c>
      <c r="X45" s="1">
        <v>3.1105999999999998</v>
      </c>
      <c r="Y45" s="1">
        <v>3.1091000000000002</v>
      </c>
    </row>
    <row r="46" spans="1:25" x14ac:dyDescent="0.3">
      <c r="A46" s="3">
        <f t="shared" ref="A46:A51" si="1">A45/3</f>
        <v>1.1111111111111112</v>
      </c>
      <c r="B46" s="1">
        <v>3.0139999999999998</v>
      </c>
      <c r="C46" s="1">
        <v>3.1269</v>
      </c>
      <c r="D46" s="1">
        <v>3.1132</v>
      </c>
      <c r="E46" s="1">
        <v>3.0558000000000001</v>
      </c>
      <c r="F46" s="1">
        <v>2.2681</v>
      </c>
      <c r="G46" s="1">
        <v>2.9201999999999999</v>
      </c>
      <c r="H46" s="1">
        <v>0.29110000000000003</v>
      </c>
      <c r="I46" s="1">
        <v>0.27300000000000002</v>
      </c>
      <c r="J46" s="1">
        <v>0.2888</v>
      </c>
      <c r="K46" s="1">
        <v>2.7456999999999998</v>
      </c>
      <c r="L46" s="1">
        <v>3.1753</v>
      </c>
      <c r="M46" s="1">
        <v>3.1</v>
      </c>
      <c r="N46" s="1">
        <v>0.26529999999999998</v>
      </c>
      <c r="O46" s="1">
        <v>0.22650000000000001</v>
      </c>
      <c r="P46" s="1">
        <v>0.23080000000000001</v>
      </c>
      <c r="Q46" s="1">
        <v>3.3066</v>
      </c>
      <c r="R46" s="1">
        <v>3.1455000000000002</v>
      </c>
      <c r="S46" s="1">
        <v>2.9268999999999998</v>
      </c>
      <c r="T46" s="1">
        <v>7.2099999999999997E-2</v>
      </c>
      <c r="U46" s="1">
        <v>7.2599999999999998E-2</v>
      </c>
      <c r="V46" s="1">
        <v>9.06E-2</v>
      </c>
      <c r="W46" s="1">
        <v>2.9510000000000001</v>
      </c>
      <c r="X46" s="1">
        <v>3.0354000000000001</v>
      </c>
      <c r="Y46" s="1">
        <v>2.8227000000000002</v>
      </c>
    </row>
    <row r="47" spans="1:25" x14ac:dyDescent="0.3">
      <c r="A47" s="3">
        <f t="shared" si="1"/>
        <v>0.37037037037037041</v>
      </c>
      <c r="B47" s="1">
        <v>3.2193000000000001</v>
      </c>
      <c r="C47" s="1">
        <v>3.2726999999999999</v>
      </c>
      <c r="D47" s="1">
        <v>3.1638000000000002</v>
      </c>
      <c r="E47" s="1">
        <v>3.12</v>
      </c>
      <c r="F47" s="1">
        <v>2.8995000000000002</v>
      </c>
      <c r="G47" s="1">
        <v>3.2839</v>
      </c>
      <c r="H47" s="1">
        <v>0.1719</v>
      </c>
      <c r="I47" s="1">
        <v>0.16239999999999999</v>
      </c>
      <c r="J47" s="1">
        <v>0.16289999999999999</v>
      </c>
      <c r="K47" s="1">
        <v>3.1377999999999999</v>
      </c>
      <c r="L47" s="1">
        <v>3.3077000000000001</v>
      </c>
      <c r="M47" s="1">
        <v>3.3218999999999999</v>
      </c>
      <c r="N47" s="1">
        <v>0.1331</v>
      </c>
      <c r="O47" s="1">
        <v>0.13250000000000001</v>
      </c>
      <c r="P47" s="1">
        <v>0.126</v>
      </c>
      <c r="Q47" s="1">
        <v>3.335</v>
      </c>
      <c r="R47" s="1">
        <v>2.7928999999999999</v>
      </c>
      <c r="S47" s="1">
        <v>3.2987000000000002</v>
      </c>
      <c r="T47" s="1">
        <v>7.1099999999999997E-2</v>
      </c>
      <c r="U47" s="1">
        <v>7.1999999999999995E-2</v>
      </c>
      <c r="V47" s="1">
        <v>8.7599999999999997E-2</v>
      </c>
      <c r="W47" s="1">
        <v>3.0693000000000001</v>
      </c>
      <c r="X47" s="1">
        <v>2.7694000000000001</v>
      </c>
      <c r="Y47" s="1">
        <v>2.7458999999999998</v>
      </c>
    </row>
    <row r="48" spans="1:25" x14ac:dyDescent="0.3">
      <c r="A48" s="3">
        <f t="shared" si="1"/>
        <v>0.1234567901234568</v>
      </c>
      <c r="B48" s="1">
        <v>3.2572000000000001</v>
      </c>
      <c r="C48" s="1">
        <v>3.3035000000000001</v>
      </c>
      <c r="D48" s="1">
        <v>3.1156999999999999</v>
      </c>
      <c r="E48" s="1">
        <v>3.1048</v>
      </c>
      <c r="F48" s="1">
        <v>2.6105999999999998</v>
      </c>
      <c r="G48" s="1">
        <v>3.1920999999999999</v>
      </c>
      <c r="H48" s="1">
        <v>0.1055</v>
      </c>
      <c r="I48" s="1">
        <v>0.1125</v>
      </c>
      <c r="J48" s="1">
        <v>0.1057</v>
      </c>
      <c r="K48" s="1">
        <v>3.0285000000000002</v>
      </c>
      <c r="L48" s="1">
        <v>3.0179</v>
      </c>
      <c r="M48" s="1">
        <v>3.1151</v>
      </c>
      <c r="N48" s="1">
        <v>0.1053</v>
      </c>
      <c r="O48" s="1">
        <v>0.1028</v>
      </c>
      <c r="P48" s="1">
        <v>9.3200000000000005E-2</v>
      </c>
      <c r="Q48" s="1">
        <v>3.1004999999999998</v>
      </c>
      <c r="R48" s="1">
        <v>3.2547999999999999</v>
      </c>
      <c r="S48" s="1">
        <v>3.2709000000000001</v>
      </c>
      <c r="T48" s="1">
        <v>7.3700000000000002E-2</v>
      </c>
      <c r="U48" s="1">
        <v>7.3599999999999999E-2</v>
      </c>
      <c r="V48" s="1">
        <v>7.2800000000000004E-2</v>
      </c>
      <c r="W48" s="1">
        <v>2.1114999999999999</v>
      </c>
      <c r="X48" s="1">
        <v>2.2538999999999998</v>
      </c>
      <c r="Y48" s="1">
        <v>1.8051999999999999</v>
      </c>
    </row>
    <row r="49" spans="1:25" x14ac:dyDescent="0.3">
      <c r="A49" s="3">
        <f t="shared" si="1"/>
        <v>4.1152263374485597E-2</v>
      </c>
      <c r="B49" s="1">
        <v>2.9018999999999999</v>
      </c>
      <c r="C49" s="1">
        <v>3.2471999999999999</v>
      </c>
      <c r="D49" s="1">
        <v>3.0909</v>
      </c>
      <c r="E49" s="1">
        <v>2.8155000000000001</v>
      </c>
      <c r="F49" s="1">
        <v>1.891</v>
      </c>
      <c r="G49" s="1">
        <v>1.8733</v>
      </c>
      <c r="H49" s="1">
        <v>8.9899999999999994E-2</v>
      </c>
      <c r="I49" s="1">
        <v>0.1007</v>
      </c>
      <c r="J49" s="1">
        <v>9.2299999999999993E-2</v>
      </c>
      <c r="K49" s="1">
        <v>1.8560000000000001</v>
      </c>
      <c r="L49" s="1">
        <v>2.7904</v>
      </c>
      <c r="M49" s="1">
        <v>2.8628</v>
      </c>
      <c r="N49" s="1">
        <v>9.01E-2</v>
      </c>
      <c r="O49" s="1">
        <v>8.5000000000000006E-2</v>
      </c>
      <c r="P49" s="1">
        <v>8.3500000000000005E-2</v>
      </c>
      <c r="Q49" s="1">
        <v>3.2938999999999998</v>
      </c>
      <c r="R49" s="1">
        <v>3.3028</v>
      </c>
      <c r="S49" s="1">
        <v>3.1292</v>
      </c>
      <c r="T49" s="1">
        <v>7.5899999999999995E-2</v>
      </c>
      <c r="U49" s="1">
        <v>7.2400000000000006E-2</v>
      </c>
      <c r="V49" s="1">
        <v>7.6799999999999993E-2</v>
      </c>
      <c r="W49" s="1">
        <v>1.2858000000000001</v>
      </c>
      <c r="X49" s="1">
        <v>1.3318000000000001</v>
      </c>
      <c r="Y49" s="1">
        <v>1.0215000000000001</v>
      </c>
    </row>
    <row r="50" spans="1:25" x14ac:dyDescent="0.3">
      <c r="A50" s="3">
        <f t="shared" si="1"/>
        <v>1.3717421124828532E-2</v>
      </c>
      <c r="B50" s="1">
        <v>2.8773</v>
      </c>
      <c r="C50" s="1">
        <v>2.5533000000000001</v>
      </c>
      <c r="D50" s="1">
        <v>2.3296000000000001</v>
      </c>
      <c r="E50" s="1">
        <v>1.9460999999999999</v>
      </c>
      <c r="F50" s="1">
        <v>1.4742999999999999</v>
      </c>
      <c r="G50" s="1">
        <v>1.3404</v>
      </c>
      <c r="H50" s="1">
        <v>9.4200000000000006E-2</v>
      </c>
      <c r="I50" s="1">
        <v>8.9899999999999994E-2</v>
      </c>
      <c r="J50" s="1">
        <v>7.7799999999999994E-2</v>
      </c>
      <c r="K50" s="1">
        <v>1.8233999999999999</v>
      </c>
      <c r="L50" s="1">
        <v>1.8634999999999999</v>
      </c>
      <c r="M50" s="1">
        <v>1.9567000000000001</v>
      </c>
      <c r="N50" s="1">
        <v>8.3099999999999993E-2</v>
      </c>
      <c r="O50" s="1">
        <v>7.8600000000000003E-2</v>
      </c>
      <c r="P50" s="1">
        <v>8.1699999999999995E-2</v>
      </c>
      <c r="Q50" s="1">
        <v>2.0971000000000002</v>
      </c>
      <c r="R50" s="1">
        <v>2.1440999999999999</v>
      </c>
      <c r="S50" s="1">
        <v>1.9460999999999999</v>
      </c>
      <c r="T50" s="1">
        <v>7.1099999999999997E-2</v>
      </c>
      <c r="U50" s="1">
        <v>7.17E-2</v>
      </c>
      <c r="V50" s="1">
        <v>9.8900000000000002E-2</v>
      </c>
      <c r="W50" s="1">
        <v>0.61539999999999995</v>
      </c>
      <c r="X50" s="1">
        <v>0.56999999999999995</v>
      </c>
      <c r="Y50" s="1">
        <v>0.53320000000000001</v>
      </c>
    </row>
    <row r="51" spans="1:25" x14ac:dyDescent="0.3">
      <c r="A51" s="3">
        <f t="shared" si="1"/>
        <v>4.5724737082761769E-3</v>
      </c>
      <c r="B51" s="1">
        <v>1.4837</v>
      </c>
      <c r="C51" s="1">
        <v>1.7941</v>
      </c>
      <c r="D51" s="1">
        <v>1.6283000000000001</v>
      </c>
      <c r="E51" s="1">
        <v>0.75649999999999995</v>
      </c>
      <c r="F51" s="1">
        <v>0.72709999999999997</v>
      </c>
      <c r="G51" s="1">
        <v>0.9002</v>
      </c>
      <c r="H51" s="1">
        <v>7.6999999999999999E-2</v>
      </c>
      <c r="I51" s="1">
        <v>8.6400000000000005E-2</v>
      </c>
      <c r="J51" s="1">
        <v>7.5200000000000003E-2</v>
      </c>
      <c r="K51" s="1">
        <v>1.0362</v>
      </c>
      <c r="L51" s="1">
        <v>0.82420000000000004</v>
      </c>
      <c r="M51" s="1">
        <v>0.9073</v>
      </c>
      <c r="N51" s="1">
        <v>8.8900000000000007E-2</v>
      </c>
      <c r="O51" s="1">
        <v>7.4899999999999994E-2</v>
      </c>
      <c r="P51" s="1">
        <v>7.6200000000000004E-2</v>
      </c>
      <c r="Q51" s="1">
        <v>0.68669999999999998</v>
      </c>
      <c r="R51" s="1">
        <v>0.70979999999999999</v>
      </c>
      <c r="S51" s="1">
        <v>0.59260000000000002</v>
      </c>
      <c r="T51" s="1">
        <v>7.2099999999999997E-2</v>
      </c>
      <c r="U51" s="1">
        <v>7.0999999999999994E-2</v>
      </c>
      <c r="V51" s="1">
        <v>7.2400000000000006E-2</v>
      </c>
      <c r="W51" s="1">
        <v>0.3095</v>
      </c>
      <c r="X51" s="1">
        <v>0.3357</v>
      </c>
      <c r="Y51" s="1">
        <v>0.27439999999999998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66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43:D43"/>
    <mergeCell ref="E43:G43"/>
    <mergeCell ref="H43:J43"/>
    <mergeCell ref="K43:M43"/>
    <mergeCell ref="N43:P43"/>
    <mergeCell ref="Q43:S43"/>
    <mergeCell ref="T43:V43"/>
    <mergeCell ref="W43:Y43"/>
    <mergeCell ref="B34:D34"/>
    <mergeCell ref="E34:G34"/>
    <mergeCell ref="H34:J34"/>
    <mergeCell ref="K34:M34"/>
    <mergeCell ref="N34:P34"/>
    <mergeCell ref="Q34:S34"/>
  </mergeCells>
  <conditionalFormatting sqref="B35:Y42 B44:Y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F5F4-092D-4B9A-A81F-311407C75AE8}">
  <dimension ref="A1:Y56"/>
  <sheetViews>
    <sheetView tabSelected="1" topLeftCell="A29" zoomScale="70" zoomScaleNormal="70" workbookViewId="0">
      <selection activeCell="K35" sqref="K35:P42"/>
    </sheetView>
  </sheetViews>
  <sheetFormatPr defaultColWidth="8.77734375"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69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68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24.6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5.8" x14ac:dyDescent="0.5">
      <c r="A34" s="5" t="s">
        <v>40</v>
      </c>
      <c r="B34" s="44" t="s">
        <v>73</v>
      </c>
      <c r="C34" s="44"/>
      <c r="D34" s="44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6"/>
      <c r="M34" s="37"/>
      <c r="N34" s="38" t="s">
        <v>77</v>
      </c>
      <c r="O34" s="39"/>
      <c r="P34" s="40"/>
      <c r="Q34" s="41" t="s">
        <v>78</v>
      </c>
      <c r="R34" s="42"/>
      <c r="S34" s="43"/>
      <c r="T34" s="7" t="s">
        <v>79</v>
      </c>
      <c r="U34" s="8"/>
      <c r="V34" s="9"/>
      <c r="W34" s="10" t="s">
        <v>80</v>
      </c>
      <c r="X34" s="11"/>
      <c r="Y34" s="12"/>
    </row>
    <row r="35" spans="1:25" x14ac:dyDescent="0.3">
      <c r="A35" s="3">
        <v>10</v>
      </c>
      <c r="B35" s="45">
        <v>3.0939000000000001</v>
      </c>
      <c r="C35" s="45">
        <v>3.2869999999999999</v>
      </c>
      <c r="D35" s="45">
        <v>3.1133999999999999</v>
      </c>
      <c r="E35" s="1">
        <v>0.89780000000000004</v>
      </c>
      <c r="F35" s="1">
        <v>1.0246</v>
      </c>
      <c r="G35" s="1">
        <v>0.85880000000000001</v>
      </c>
      <c r="H35" s="1">
        <v>0.70660000000000001</v>
      </c>
      <c r="I35" s="1">
        <v>0.60189999999999999</v>
      </c>
      <c r="J35" s="1">
        <v>0.55349999999999999</v>
      </c>
      <c r="K35" s="1">
        <v>3.1987000000000001</v>
      </c>
      <c r="L35" s="1">
        <v>3.1867000000000001</v>
      </c>
      <c r="M35" s="1">
        <v>3.2441</v>
      </c>
      <c r="N35" s="1">
        <v>3.3001</v>
      </c>
      <c r="O35" s="1">
        <v>3.3618999999999999</v>
      </c>
      <c r="P35" s="1">
        <v>3.3329</v>
      </c>
      <c r="Q35" s="1">
        <v>3.3275999999999999</v>
      </c>
      <c r="R35" s="1">
        <v>3.2709000000000001</v>
      </c>
      <c r="S35" s="1">
        <v>3.3123</v>
      </c>
      <c r="T35" s="1">
        <v>0.44940000000000002</v>
      </c>
      <c r="U35" s="1">
        <v>0.44550000000000001</v>
      </c>
      <c r="V35" s="1">
        <v>0.50229999999999997</v>
      </c>
      <c r="W35" s="1">
        <v>3.169</v>
      </c>
      <c r="X35" s="1">
        <v>3.0876999999999999</v>
      </c>
      <c r="Y35" s="1">
        <v>3.1617000000000002</v>
      </c>
    </row>
    <row r="36" spans="1:25" x14ac:dyDescent="0.3">
      <c r="A36" s="3">
        <f>A35/3</f>
        <v>3.3333333333333335</v>
      </c>
      <c r="B36" s="45">
        <v>3.2738</v>
      </c>
      <c r="C36" s="45">
        <v>2.8479000000000001</v>
      </c>
      <c r="D36" s="45">
        <v>3.2298</v>
      </c>
      <c r="E36" s="1">
        <v>0.27360000000000001</v>
      </c>
      <c r="F36" s="1">
        <v>0.48130000000000001</v>
      </c>
      <c r="G36" s="1">
        <v>0.23089999999999999</v>
      </c>
      <c r="H36" s="1">
        <v>0.28989999999999999</v>
      </c>
      <c r="I36" s="1">
        <v>0.21279999999999999</v>
      </c>
      <c r="J36" s="1">
        <v>0.26069999999999999</v>
      </c>
      <c r="K36" s="1">
        <v>2.7023999999999999</v>
      </c>
      <c r="L36" s="1">
        <v>2.6928999999999998</v>
      </c>
      <c r="M36" s="1">
        <v>3.2637</v>
      </c>
      <c r="N36" s="1">
        <v>3.347</v>
      </c>
      <c r="O36" s="1">
        <v>3.3267000000000002</v>
      </c>
      <c r="P36" s="1">
        <v>3.3624999999999998</v>
      </c>
      <c r="Q36" s="1">
        <v>3.1023000000000001</v>
      </c>
      <c r="R36" s="1">
        <v>3.0956000000000001</v>
      </c>
      <c r="S36" s="1">
        <v>3.2305999999999999</v>
      </c>
      <c r="T36" s="1">
        <v>0.20930000000000001</v>
      </c>
      <c r="U36" s="1">
        <v>0.2054</v>
      </c>
      <c r="V36" s="1">
        <v>0.22459999999999999</v>
      </c>
      <c r="W36" s="1">
        <v>1.9754</v>
      </c>
      <c r="X36" s="1">
        <v>2.1313</v>
      </c>
      <c r="Y36" s="1">
        <v>1.9386000000000001</v>
      </c>
    </row>
    <row r="37" spans="1:25" x14ac:dyDescent="0.3">
      <c r="A37" s="3">
        <f t="shared" ref="A37:A42" si="0">A36/3</f>
        <v>1.1111111111111112</v>
      </c>
      <c r="B37" s="45">
        <v>2.8186</v>
      </c>
      <c r="C37" s="45">
        <v>2.9222000000000001</v>
      </c>
      <c r="D37" s="45">
        <v>3.1109</v>
      </c>
      <c r="E37" s="1">
        <v>0.22620000000000001</v>
      </c>
      <c r="F37" s="1">
        <v>0.27550000000000002</v>
      </c>
      <c r="G37" s="1">
        <v>0.20960000000000001</v>
      </c>
      <c r="H37" s="1">
        <v>0.16259999999999999</v>
      </c>
      <c r="I37" s="1">
        <v>0.13969999999999999</v>
      </c>
      <c r="J37" s="1">
        <v>0.1618</v>
      </c>
      <c r="K37" s="1">
        <v>3.3067000000000002</v>
      </c>
      <c r="L37" s="1">
        <v>2.7360000000000002</v>
      </c>
      <c r="M37" s="1">
        <v>3.2875999999999999</v>
      </c>
      <c r="N37" s="1">
        <v>3.3464999999999998</v>
      </c>
      <c r="O37" s="1">
        <v>3.3246000000000002</v>
      </c>
      <c r="P37" s="1">
        <v>3.3226</v>
      </c>
      <c r="Q37" s="1">
        <v>2.5106999999999999</v>
      </c>
      <c r="R37" s="1">
        <v>2.4176000000000002</v>
      </c>
      <c r="S37" s="1">
        <v>2.2635000000000001</v>
      </c>
      <c r="T37" s="1">
        <v>0.155</v>
      </c>
      <c r="U37" s="1">
        <v>0.1462</v>
      </c>
      <c r="V37" s="1">
        <v>0.14879999999999999</v>
      </c>
      <c r="W37" s="1">
        <v>1.3452</v>
      </c>
      <c r="X37" s="1">
        <v>1.4711000000000001</v>
      </c>
      <c r="Y37" s="1">
        <v>1.2513000000000001</v>
      </c>
    </row>
    <row r="38" spans="1:25" x14ac:dyDescent="0.3">
      <c r="A38" s="3">
        <f t="shared" si="0"/>
        <v>0.37037037037037041</v>
      </c>
      <c r="B38" s="45">
        <v>2.5449999999999999</v>
      </c>
      <c r="C38" s="45">
        <v>2.3176000000000001</v>
      </c>
      <c r="D38" s="45">
        <v>2.5102000000000002</v>
      </c>
      <c r="E38" s="1">
        <v>0.151</v>
      </c>
      <c r="F38" s="1">
        <v>0.16850000000000001</v>
      </c>
      <c r="G38" s="1">
        <v>0.14680000000000001</v>
      </c>
      <c r="H38" s="1">
        <v>0.1086</v>
      </c>
      <c r="I38" s="1">
        <v>0.109</v>
      </c>
      <c r="J38" s="1">
        <v>0.1082</v>
      </c>
      <c r="K38" s="1">
        <v>3.1286</v>
      </c>
      <c r="L38" s="1">
        <v>2.5964</v>
      </c>
      <c r="M38" s="1">
        <v>3.1718999999999999</v>
      </c>
      <c r="N38" s="1">
        <v>3.3235999999999999</v>
      </c>
      <c r="O38" s="1">
        <v>3.2869000000000002</v>
      </c>
      <c r="P38" s="1">
        <v>3.3302999999999998</v>
      </c>
      <c r="Q38" s="1">
        <v>1.21</v>
      </c>
      <c r="R38" s="1">
        <v>1.3674999999999999</v>
      </c>
      <c r="S38" s="1">
        <v>1.3754999999999999</v>
      </c>
      <c r="T38" s="1">
        <v>0.1113</v>
      </c>
      <c r="U38" s="1">
        <v>0.1007</v>
      </c>
      <c r="V38" s="1">
        <v>0.1095</v>
      </c>
      <c r="W38" s="1">
        <v>0.67</v>
      </c>
      <c r="X38" s="1">
        <v>0.62609999999999999</v>
      </c>
      <c r="Y38" s="1">
        <v>0.6835</v>
      </c>
    </row>
    <row r="39" spans="1:25" x14ac:dyDescent="0.3">
      <c r="A39" s="3">
        <f t="shared" si="0"/>
        <v>0.1234567901234568</v>
      </c>
      <c r="B39" s="45">
        <v>1.9853000000000001</v>
      </c>
      <c r="C39" s="45">
        <v>1.3779999999999999</v>
      </c>
      <c r="D39" s="45">
        <v>1.5432999999999999</v>
      </c>
      <c r="E39" s="1">
        <v>8.8400000000000006E-2</v>
      </c>
      <c r="F39" s="1">
        <v>0.1104</v>
      </c>
      <c r="G39" s="1">
        <v>9.74E-2</v>
      </c>
      <c r="H39" s="1">
        <v>8.5500000000000007E-2</v>
      </c>
      <c r="I39" s="1">
        <v>9.4899999999999998E-2</v>
      </c>
      <c r="J39" s="1">
        <v>8.6999999999999994E-2</v>
      </c>
      <c r="K39" s="1">
        <v>3.2566000000000002</v>
      </c>
      <c r="L39" s="1">
        <v>3.1947999999999999</v>
      </c>
      <c r="M39" s="1">
        <v>3.3283</v>
      </c>
      <c r="N39" s="1">
        <v>3.3525</v>
      </c>
      <c r="O39" s="1">
        <v>3.3279000000000001</v>
      </c>
      <c r="P39" s="1">
        <v>3.3136999999999999</v>
      </c>
      <c r="Q39" s="1">
        <v>0.65820000000000001</v>
      </c>
      <c r="R39" s="1">
        <v>0.66639999999999999</v>
      </c>
      <c r="S39" s="1">
        <v>0.68869999999999998</v>
      </c>
      <c r="T39" s="1">
        <v>8.3699999999999997E-2</v>
      </c>
      <c r="U39" s="1">
        <v>8.0199999999999994E-2</v>
      </c>
      <c r="V39" s="1">
        <v>8.2900000000000001E-2</v>
      </c>
      <c r="W39" s="1">
        <v>0.40310000000000001</v>
      </c>
      <c r="X39" s="1">
        <v>0.41930000000000001</v>
      </c>
      <c r="Y39" s="1">
        <v>0.33539999999999998</v>
      </c>
    </row>
    <row r="40" spans="1:25" x14ac:dyDescent="0.3">
      <c r="A40" s="3">
        <f t="shared" si="0"/>
        <v>4.1152263374485597E-2</v>
      </c>
      <c r="B40" s="45">
        <v>0.80730000000000002</v>
      </c>
      <c r="C40" s="45">
        <v>0.67300000000000004</v>
      </c>
      <c r="D40" s="45">
        <v>0.96809999999999996</v>
      </c>
      <c r="E40" s="1">
        <v>8.6699999999999999E-2</v>
      </c>
      <c r="F40" s="1">
        <v>8.6900000000000005E-2</v>
      </c>
      <c r="G40" s="1">
        <v>8.2400000000000001E-2</v>
      </c>
      <c r="H40" s="1">
        <v>7.7700000000000005E-2</v>
      </c>
      <c r="I40" s="1">
        <v>8.8499999999999995E-2</v>
      </c>
      <c r="J40" s="1">
        <v>8.2199999999999995E-2</v>
      </c>
      <c r="K40" s="1">
        <v>3.3249</v>
      </c>
      <c r="L40" s="1">
        <v>3.1941000000000002</v>
      </c>
      <c r="M40" s="1">
        <v>3.2637</v>
      </c>
      <c r="N40" s="1">
        <v>3.3452999999999999</v>
      </c>
      <c r="O40" s="1">
        <v>3.3308</v>
      </c>
      <c r="P40" s="1">
        <v>3.3016000000000001</v>
      </c>
      <c r="Q40" s="1">
        <v>0.31419999999999998</v>
      </c>
      <c r="R40" s="1">
        <v>0.32329999999999998</v>
      </c>
      <c r="S40" s="1">
        <v>0.30590000000000001</v>
      </c>
      <c r="T40" s="1">
        <v>7.6899999999999996E-2</v>
      </c>
      <c r="U40" s="1">
        <v>7.5200000000000003E-2</v>
      </c>
      <c r="V40" s="1">
        <v>8.1799999999999998E-2</v>
      </c>
      <c r="W40" s="1">
        <v>0.2422</v>
      </c>
      <c r="X40" s="1">
        <v>0.24329999999999999</v>
      </c>
      <c r="Y40" s="1">
        <v>0.19470000000000001</v>
      </c>
    </row>
    <row r="41" spans="1:25" x14ac:dyDescent="0.3">
      <c r="A41" s="3">
        <f t="shared" si="0"/>
        <v>1.3717421124828532E-2</v>
      </c>
      <c r="B41" s="45">
        <v>0.45469999999999999</v>
      </c>
      <c r="C41" s="45">
        <v>0.32029999999999997</v>
      </c>
      <c r="D41" s="45">
        <v>0.44030000000000002</v>
      </c>
      <c r="E41" s="1">
        <v>7.9699999999999993E-2</v>
      </c>
      <c r="F41" s="1">
        <v>7.8100000000000003E-2</v>
      </c>
      <c r="G41" s="1">
        <v>7.7899999999999997E-2</v>
      </c>
      <c r="H41" s="1">
        <v>7.4700000000000003E-2</v>
      </c>
      <c r="I41" s="1">
        <v>8.5199999999999998E-2</v>
      </c>
      <c r="J41" s="1">
        <v>7.51E-2</v>
      </c>
      <c r="K41" s="1">
        <v>3.2189000000000001</v>
      </c>
      <c r="L41" s="1">
        <v>3.1549</v>
      </c>
      <c r="M41" s="1">
        <v>3.2970000000000002</v>
      </c>
      <c r="N41" s="1">
        <v>3.2014</v>
      </c>
      <c r="O41" s="1">
        <v>3.2652999999999999</v>
      </c>
      <c r="P41" s="1">
        <v>3.214</v>
      </c>
      <c r="Q41" s="1">
        <v>0.21379999999999999</v>
      </c>
      <c r="R41" s="1">
        <v>0.1862</v>
      </c>
      <c r="S41" s="1">
        <v>0.17050000000000001</v>
      </c>
      <c r="T41" s="1">
        <v>7.3999999999999996E-2</v>
      </c>
      <c r="U41" s="1">
        <v>7.3899999999999993E-2</v>
      </c>
      <c r="V41" s="1">
        <v>7.1999999999999995E-2</v>
      </c>
      <c r="W41" s="1">
        <v>0.14480000000000001</v>
      </c>
      <c r="X41" s="1">
        <v>0.1351</v>
      </c>
      <c r="Y41" s="1">
        <v>0.1305</v>
      </c>
    </row>
    <row r="42" spans="1:25" x14ac:dyDescent="0.3">
      <c r="A42" s="3">
        <f t="shared" si="0"/>
        <v>4.5724737082761769E-3</v>
      </c>
      <c r="B42" s="45">
        <v>0.24909999999999999</v>
      </c>
      <c r="C42" s="45">
        <v>0.18390000000000001</v>
      </c>
      <c r="D42" s="45">
        <v>0.2586</v>
      </c>
      <c r="E42" s="1">
        <v>7.4999999999999997E-2</v>
      </c>
      <c r="F42" s="1">
        <v>7.3899999999999993E-2</v>
      </c>
      <c r="G42" s="1">
        <v>7.5499999999999998E-2</v>
      </c>
      <c r="H42" s="1">
        <v>7.3099999999999998E-2</v>
      </c>
      <c r="I42" s="1">
        <v>8.5800000000000001E-2</v>
      </c>
      <c r="J42" s="1">
        <v>7.2900000000000006E-2</v>
      </c>
      <c r="K42" s="1">
        <v>2.9119000000000002</v>
      </c>
      <c r="L42" s="1">
        <v>2.9224000000000001</v>
      </c>
      <c r="M42" s="1">
        <v>2.9249999999999998</v>
      </c>
      <c r="N42" s="1">
        <v>2.7873999999999999</v>
      </c>
      <c r="O42" s="1">
        <v>2.8563999999999998</v>
      </c>
      <c r="P42" s="1">
        <v>2.6377999999999999</v>
      </c>
      <c r="Q42" s="1">
        <v>0.1321</v>
      </c>
      <c r="R42" s="1">
        <v>0.1246</v>
      </c>
      <c r="S42" s="1">
        <v>0.13469999999999999</v>
      </c>
      <c r="T42" s="1">
        <v>7.46E-2</v>
      </c>
      <c r="U42" s="1">
        <v>7.3899999999999993E-2</v>
      </c>
      <c r="V42" s="1">
        <v>7.9699999999999993E-2</v>
      </c>
      <c r="W42" s="1">
        <v>0.10539999999999999</v>
      </c>
      <c r="X42" s="1">
        <v>9.7699999999999995E-2</v>
      </c>
      <c r="Y42" s="1">
        <v>9.9599999999999994E-2</v>
      </c>
    </row>
    <row r="43" spans="1:25" ht="28.8" x14ac:dyDescent="0.55000000000000004">
      <c r="A43" s="6"/>
      <c r="B43" s="13" t="s">
        <v>82</v>
      </c>
      <c r="C43" s="13"/>
      <c r="D43" s="13"/>
      <c r="E43" s="14" t="s">
        <v>83</v>
      </c>
      <c r="F43" s="15"/>
      <c r="G43" s="16"/>
      <c r="H43" s="17" t="s">
        <v>84</v>
      </c>
      <c r="I43" s="18"/>
      <c r="J43" s="19"/>
      <c r="K43" s="20" t="s">
        <v>85</v>
      </c>
      <c r="L43" s="21"/>
      <c r="M43" s="22"/>
      <c r="N43" s="23" t="s">
        <v>86</v>
      </c>
      <c r="O43" s="24"/>
      <c r="P43" s="25"/>
      <c r="Q43" s="17" t="s">
        <v>87</v>
      </c>
      <c r="R43" s="18"/>
      <c r="S43" s="19"/>
      <c r="T43" s="26" t="s">
        <v>88</v>
      </c>
      <c r="U43" s="27"/>
      <c r="V43" s="28"/>
      <c r="W43" s="29" t="s">
        <v>81</v>
      </c>
      <c r="X43" s="30"/>
      <c r="Y43" s="31"/>
    </row>
    <row r="44" spans="1:25" x14ac:dyDescent="0.3">
      <c r="A44" s="3">
        <v>10</v>
      </c>
      <c r="B44" s="1">
        <v>3.1139999999999999</v>
      </c>
      <c r="C44" s="1">
        <v>3.3105000000000002</v>
      </c>
      <c r="D44" s="1">
        <v>3.1147</v>
      </c>
      <c r="E44" s="1">
        <v>1.665</v>
      </c>
      <c r="F44" s="1">
        <v>1.2874000000000001</v>
      </c>
      <c r="G44" s="1">
        <v>1.619</v>
      </c>
      <c r="H44" s="1">
        <v>1.3315999999999999</v>
      </c>
      <c r="I44" s="1">
        <v>1.044</v>
      </c>
      <c r="J44" s="1">
        <v>1.3035000000000001</v>
      </c>
      <c r="K44" s="1">
        <v>3.3020999999999998</v>
      </c>
      <c r="L44" s="1">
        <v>3.2944</v>
      </c>
      <c r="M44" s="1">
        <v>3.2488000000000001</v>
      </c>
      <c r="N44" s="1">
        <v>0.86939999999999995</v>
      </c>
      <c r="O44" s="1">
        <v>0.76939999999999997</v>
      </c>
      <c r="P44" s="1">
        <v>0.72240000000000004</v>
      </c>
      <c r="Q44" s="1">
        <v>3.3746999999999998</v>
      </c>
      <c r="R44" s="1">
        <v>3.2292999999999998</v>
      </c>
      <c r="S44" s="1">
        <v>3.3412000000000002</v>
      </c>
      <c r="T44" s="1">
        <v>8.9499999999999996E-2</v>
      </c>
      <c r="U44" s="1">
        <v>9.8799999999999999E-2</v>
      </c>
      <c r="V44" s="1">
        <v>8.77E-2</v>
      </c>
      <c r="W44" s="1">
        <v>0.7923</v>
      </c>
      <c r="X44" s="1">
        <v>0.86560000000000004</v>
      </c>
      <c r="Y44" s="1">
        <v>0.78310000000000002</v>
      </c>
    </row>
    <row r="45" spans="1:25" x14ac:dyDescent="0.3">
      <c r="A45" s="3">
        <f>A44/3</f>
        <v>3.3333333333333335</v>
      </c>
      <c r="B45" s="1">
        <v>3.2955000000000001</v>
      </c>
      <c r="C45" s="1">
        <v>3.2947000000000002</v>
      </c>
      <c r="D45" s="1">
        <v>3.0931999999999999</v>
      </c>
      <c r="E45" s="1">
        <v>0.98509999999999998</v>
      </c>
      <c r="F45" s="1">
        <v>0.57169999999999999</v>
      </c>
      <c r="G45" s="1">
        <v>0.83079999999999998</v>
      </c>
      <c r="H45" s="1">
        <v>0.57099999999999995</v>
      </c>
      <c r="I45" s="1">
        <v>0.46039999999999998</v>
      </c>
      <c r="J45" s="1">
        <v>0.58479999999999999</v>
      </c>
      <c r="K45" s="1">
        <v>3.0931999999999999</v>
      </c>
      <c r="L45" s="1">
        <v>2.9986999999999999</v>
      </c>
      <c r="M45" s="1">
        <v>3.3035000000000001</v>
      </c>
      <c r="N45" s="1">
        <v>0.45279999999999998</v>
      </c>
      <c r="O45" s="1">
        <v>0.38719999999999999</v>
      </c>
      <c r="P45" s="1">
        <v>0.30859999999999999</v>
      </c>
      <c r="Q45" s="1">
        <v>2.7208999999999999</v>
      </c>
      <c r="R45" s="1">
        <v>3.2704</v>
      </c>
      <c r="S45" s="1">
        <v>3.1476999999999999</v>
      </c>
      <c r="T45" s="1">
        <v>7.7100000000000002E-2</v>
      </c>
      <c r="U45" s="1">
        <v>8.1500000000000003E-2</v>
      </c>
      <c r="V45" s="1">
        <v>7.3999999999999996E-2</v>
      </c>
      <c r="W45" s="1">
        <v>0.60340000000000005</v>
      </c>
      <c r="X45" s="1">
        <v>0.49259999999999998</v>
      </c>
      <c r="Y45" s="1">
        <v>0.35699999999999998</v>
      </c>
    </row>
    <row r="46" spans="1:25" x14ac:dyDescent="0.3">
      <c r="A46" s="3">
        <f t="shared" ref="A46:A51" si="1">A45/3</f>
        <v>1.1111111111111112</v>
      </c>
      <c r="B46" s="1">
        <v>3.1072000000000002</v>
      </c>
      <c r="C46" s="1">
        <v>3.3294000000000001</v>
      </c>
      <c r="D46" s="1">
        <v>3.2252999999999998</v>
      </c>
      <c r="E46" s="1">
        <v>0.54869999999999997</v>
      </c>
      <c r="F46" s="1">
        <v>0.42659999999999998</v>
      </c>
      <c r="G46" s="1">
        <v>0.5464</v>
      </c>
      <c r="H46" s="1">
        <v>0.2888</v>
      </c>
      <c r="I46" s="1">
        <v>0.2445</v>
      </c>
      <c r="J46" s="1">
        <v>0.25840000000000002</v>
      </c>
      <c r="K46" s="1">
        <v>3.0813999999999999</v>
      </c>
      <c r="L46" s="1">
        <v>3.2254999999999998</v>
      </c>
      <c r="M46" s="1">
        <v>3.0225</v>
      </c>
      <c r="N46" s="1">
        <v>0.21129999999999999</v>
      </c>
      <c r="O46" s="1">
        <v>0.17449999999999999</v>
      </c>
      <c r="P46" s="1">
        <v>0.19020000000000001</v>
      </c>
      <c r="Q46" s="1">
        <v>3.2585999999999999</v>
      </c>
      <c r="R46" s="1">
        <v>3.2608999999999999</v>
      </c>
      <c r="S46" s="1">
        <v>3.3094000000000001</v>
      </c>
      <c r="T46" s="1">
        <v>7.3200000000000001E-2</v>
      </c>
      <c r="U46" s="1">
        <v>7.2099999999999997E-2</v>
      </c>
      <c r="V46" s="1">
        <v>7.3300000000000004E-2</v>
      </c>
      <c r="W46" s="1">
        <v>0.30909999999999999</v>
      </c>
      <c r="X46" s="1">
        <v>0.29520000000000002</v>
      </c>
      <c r="Y46" s="1">
        <v>0.25669999999999998</v>
      </c>
    </row>
    <row r="47" spans="1:25" x14ac:dyDescent="0.3">
      <c r="A47" s="3">
        <f t="shared" si="1"/>
        <v>0.37037037037037041</v>
      </c>
      <c r="B47" s="1">
        <v>3.2342</v>
      </c>
      <c r="C47" s="1">
        <v>3.2117</v>
      </c>
      <c r="D47" s="1">
        <v>3.1671</v>
      </c>
      <c r="E47" s="1">
        <v>0.41010000000000002</v>
      </c>
      <c r="F47" s="1">
        <v>0.3261</v>
      </c>
      <c r="G47" s="1">
        <v>0.35410000000000003</v>
      </c>
      <c r="H47" s="1">
        <v>0.17780000000000001</v>
      </c>
      <c r="I47" s="1">
        <v>0.16500000000000001</v>
      </c>
      <c r="J47" s="1">
        <v>0.1497</v>
      </c>
      <c r="K47" s="1">
        <v>2.9195000000000002</v>
      </c>
      <c r="L47" s="1">
        <v>2.7309000000000001</v>
      </c>
      <c r="M47" s="1">
        <v>2.4901</v>
      </c>
      <c r="N47" s="1">
        <v>0.123</v>
      </c>
      <c r="O47" s="1">
        <v>0.11700000000000001</v>
      </c>
      <c r="P47" s="1">
        <v>0.1275</v>
      </c>
      <c r="Q47" s="1">
        <v>3.3690000000000002</v>
      </c>
      <c r="R47" s="1">
        <v>3.2075</v>
      </c>
      <c r="S47" s="1">
        <v>3.3332000000000002</v>
      </c>
      <c r="T47" s="1">
        <v>7.2300000000000003E-2</v>
      </c>
      <c r="U47" s="1">
        <v>7.1900000000000006E-2</v>
      </c>
      <c r="V47" s="1">
        <v>7.2099999999999997E-2</v>
      </c>
      <c r="W47" s="1">
        <v>0.26669999999999999</v>
      </c>
      <c r="X47" s="1">
        <v>0.24160000000000001</v>
      </c>
      <c r="Y47" s="1">
        <v>0.21740000000000001</v>
      </c>
    </row>
    <row r="48" spans="1:25" x14ac:dyDescent="0.3">
      <c r="A48" s="3">
        <f t="shared" si="1"/>
        <v>0.1234567901234568</v>
      </c>
      <c r="B48" s="1">
        <v>3.1663000000000001</v>
      </c>
      <c r="C48" s="1">
        <v>3.2126999999999999</v>
      </c>
      <c r="D48" s="1">
        <v>3.0390000000000001</v>
      </c>
      <c r="E48" s="1">
        <v>0.23</v>
      </c>
      <c r="F48" s="1">
        <v>0.21099999999999999</v>
      </c>
      <c r="G48" s="1">
        <v>0.27110000000000001</v>
      </c>
      <c r="H48" s="1">
        <v>0.1133</v>
      </c>
      <c r="I48" s="1">
        <v>0.11219999999999999</v>
      </c>
      <c r="J48" s="1">
        <v>9.7500000000000003E-2</v>
      </c>
      <c r="K48" s="1">
        <v>1.6903999999999999</v>
      </c>
      <c r="L48" s="1">
        <v>2.0958999999999999</v>
      </c>
      <c r="M48" s="1">
        <v>1.8383</v>
      </c>
      <c r="N48" s="1">
        <v>9.6699999999999994E-2</v>
      </c>
      <c r="O48" s="1">
        <v>8.8099999999999998E-2</v>
      </c>
      <c r="P48" s="1">
        <v>8.9700000000000002E-2</v>
      </c>
      <c r="Q48" s="1">
        <v>2.9239999999999999</v>
      </c>
      <c r="R48" s="1">
        <v>3.1587000000000001</v>
      </c>
      <c r="S48" s="1">
        <v>3.3420000000000001</v>
      </c>
      <c r="T48" s="1">
        <v>7.1599999999999997E-2</v>
      </c>
      <c r="U48" s="1">
        <v>7.2499999999999995E-2</v>
      </c>
      <c r="V48" s="1">
        <v>7.3899999999999993E-2</v>
      </c>
      <c r="W48" s="1">
        <v>0.1181</v>
      </c>
      <c r="X48" s="1">
        <v>0.14910000000000001</v>
      </c>
      <c r="Y48" s="1">
        <v>0.1323</v>
      </c>
    </row>
    <row r="49" spans="1:25" x14ac:dyDescent="0.3">
      <c r="A49" s="3">
        <f t="shared" si="1"/>
        <v>4.1152263374485597E-2</v>
      </c>
      <c r="B49" s="1">
        <v>2.1352000000000002</v>
      </c>
      <c r="C49" s="1">
        <v>2.7738</v>
      </c>
      <c r="D49" s="1">
        <v>2.2690999999999999</v>
      </c>
      <c r="E49" s="1">
        <v>0.1797</v>
      </c>
      <c r="F49" s="1">
        <v>0.1421</v>
      </c>
      <c r="G49" s="1">
        <v>0.16120000000000001</v>
      </c>
      <c r="H49" s="1">
        <v>8.8999999999999996E-2</v>
      </c>
      <c r="I49" s="1">
        <v>0.1028</v>
      </c>
      <c r="J49" s="1">
        <v>9.1499999999999998E-2</v>
      </c>
      <c r="K49" s="1">
        <v>1.0127999999999999</v>
      </c>
      <c r="L49" s="1">
        <v>1.0189999999999999</v>
      </c>
      <c r="M49" s="1">
        <v>0.91479999999999995</v>
      </c>
      <c r="N49" s="1">
        <v>8.5900000000000004E-2</v>
      </c>
      <c r="O49" s="1">
        <v>8.3400000000000002E-2</v>
      </c>
      <c r="P49" s="1">
        <v>7.9299999999999995E-2</v>
      </c>
      <c r="Q49" s="1">
        <v>3.2250999999999999</v>
      </c>
      <c r="R49" s="1">
        <v>3.1737000000000002</v>
      </c>
      <c r="S49" s="1">
        <v>3.1238000000000001</v>
      </c>
      <c r="T49" s="1">
        <v>7.0699999999999999E-2</v>
      </c>
      <c r="U49" s="1">
        <v>7.4999999999999997E-2</v>
      </c>
      <c r="V49" s="1">
        <v>7.1199999999999999E-2</v>
      </c>
      <c r="W49" s="1">
        <v>9.6600000000000005E-2</v>
      </c>
      <c r="X49" s="1">
        <v>0.10100000000000001</v>
      </c>
      <c r="Y49" s="1">
        <v>9.8199999999999996E-2</v>
      </c>
    </row>
    <row r="50" spans="1:25" x14ac:dyDescent="0.3">
      <c r="A50" s="3">
        <f t="shared" si="1"/>
        <v>1.3717421124828532E-2</v>
      </c>
      <c r="B50" s="1">
        <v>1.2847999999999999</v>
      </c>
      <c r="C50" s="1">
        <v>1.6087</v>
      </c>
      <c r="D50" s="1">
        <v>1.5029999999999999</v>
      </c>
      <c r="E50" s="1">
        <v>0.14410000000000001</v>
      </c>
      <c r="F50" s="1">
        <v>0.1106</v>
      </c>
      <c r="G50" s="1">
        <v>0.11269999999999999</v>
      </c>
      <c r="H50" s="1">
        <v>8.0399999999999999E-2</v>
      </c>
      <c r="I50" s="1">
        <v>8.8200000000000001E-2</v>
      </c>
      <c r="J50" s="1">
        <v>7.5800000000000006E-2</v>
      </c>
      <c r="K50" s="1">
        <v>0.52949999999999997</v>
      </c>
      <c r="L50" s="1">
        <v>0.52070000000000005</v>
      </c>
      <c r="M50" s="1">
        <v>0.47849999999999998</v>
      </c>
      <c r="N50" s="1">
        <v>8.1199999999999994E-2</v>
      </c>
      <c r="O50" s="1">
        <v>7.7600000000000002E-2</v>
      </c>
      <c r="P50" s="1">
        <v>7.7399999999999997E-2</v>
      </c>
      <c r="Q50" s="1">
        <v>2.2000999999999999</v>
      </c>
      <c r="R50" s="1">
        <v>1.8522000000000001</v>
      </c>
      <c r="S50" s="1">
        <v>1.6569</v>
      </c>
      <c r="T50" s="1">
        <v>6.88E-2</v>
      </c>
      <c r="U50" s="1">
        <v>7.2499999999999995E-2</v>
      </c>
      <c r="V50" s="1">
        <v>7.3499999999999996E-2</v>
      </c>
      <c r="W50" s="1">
        <v>8.7900000000000006E-2</v>
      </c>
      <c r="X50" s="1">
        <v>8.7300000000000003E-2</v>
      </c>
      <c r="Y50" s="1">
        <v>8.48E-2</v>
      </c>
    </row>
    <row r="51" spans="1:25" x14ac:dyDescent="0.3">
      <c r="A51" s="3">
        <f t="shared" si="1"/>
        <v>4.5724737082761769E-3</v>
      </c>
      <c r="B51" s="1">
        <v>0.81430000000000002</v>
      </c>
      <c r="C51" s="1">
        <v>1.0906</v>
      </c>
      <c r="D51" s="1">
        <v>0.81779999999999997</v>
      </c>
      <c r="E51" s="1">
        <v>9.5000000000000001E-2</v>
      </c>
      <c r="F51" s="1">
        <v>8.9800000000000005E-2</v>
      </c>
      <c r="G51" s="1">
        <v>9.1800000000000007E-2</v>
      </c>
      <c r="H51" s="1">
        <v>7.9500000000000001E-2</v>
      </c>
      <c r="I51" s="1">
        <v>8.8400000000000006E-2</v>
      </c>
      <c r="J51" s="1">
        <v>7.3400000000000007E-2</v>
      </c>
      <c r="K51" s="1">
        <v>0.32300000000000001</v>
      </c>
      <c r="L51" s="1">
        <v>0.23580000000000001</v>
      </c>
      <c r="M51" s="1">
        <v>0.25509999999999999</v>
      </c>
      <c r="N51" s="1">
        <v>8.4199999999999997E-2</v>
      </c>
      <c r="O51" s="1">
        <v>7.2999999999999995E-2</v>
      </c>
      <c r="P51" s="1">
        <v>7.0800000000000002E-2</v>
      </c>
      <c r="Q51" s="1">
        <v>1.1006</v>
      </c>
      <c r="R51" s="1">
        <v>0.84909999999999997</v>
      </c>
      <c r="S51" s="1">
        <v>0.77439999999999998</v>
      </c>
      <c r="T51" s="1">
        <v>7.17E-2</v>
      </c>
      <c r="U51" s="1">
        <v>6.9199999999999998E-2</v>
      </c>
      <c r="V51" s="1">
        <v>6.8699999999999997E-2</v>
      </c>
      <c r="W51" s="1">
        <v>7.7799999999999994E-2</v>
      </c>
      <c r="X51" s="1">
        <v>8.48E-2</v>
      </c>
      <c r="Y51" s="1">
        <v>7.8799999999999995E-2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67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43:D43"/>
    <mergeCell ref="E43:G43"/>
    <mergeCell ref="H43:J43"/>
    <mergeCell ref="K43:M43"/>
    <mergeCell ref="N43:P43"/>
    <mergeCell ref="Q43:S43"/>
    <mergeCell ref="T43:V43"/>
    <mergeCell ref="W43:Y43"/>
    <mergeCell ref="B34:D34"/>
    <mergeCell ref="E34:G34"/>
    <mergeCell ref="H34:J34"/>
    <mergeCell ref="K34:M34"/>
    <mergeCell ref="N34:P34"/>
    <mergeCell ref="Q34:S34"/>
  </mergeCells>
  <conditionalFormatting sqref="B35:Y42 B44:Y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0457-F506-4DB3-A01D-36F4A5A2C0DD}">
  <dimension ref="A1:Y56"/>
  <sheetViews>
    <sheetView topLeftCell="A29" zoomScale="70" zoomScaleNormal="70" workbookViewId="0">
      <selection activeCell="C39" sqref="C39"/>
    </sheetView>
  </sheetViews>
  <sheetFormatPr defaultColWidth="8.77734375"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72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71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24.6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5.8" x14ac:dyDescent="0.5">
      <c r="A34" s="5" t="s">
        <v>40</v>
      </c>
      <c r="B34" s="32" t="s">
        <v>73</v>
      </c>
      <c r="C34" s="32"/>
      <c r="D34" s="32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6"/>
      <c r="M34" s="37"/>
      <c r="N34" s="38" t="s">
        <v>77</v>
      </c>
      <c r="O34" s="39"/>
      <c r="P34" s="40"/>
      <c r="Q34" s="41" t="s">
        <v>78</v>
      </c>
      <c r="R34" s="42"/>
      <c r="S34" s="43"/>
      <c r="T34" s="7" t="s">
        <v>79</v>
      </c>
      <c r="U34" s="8"/>
      <c r="V34" s="9"/>
      <c r="W34" s="10" t="s">
        <v>80</v>
      </c>
      <c r="X34" s="11"/>
      <c r="Y34" s="12"/>
    </row>
    <row r="35" spans="1:25" x14ac:dyDescent="0.3">
      <c r="A35" s="3">
        <v>10</v>
      </c>
      <c r="B35" s="1">
        <v>3.3117000000000001</v>
      </c>
      <c r="C35" s="1">
        <v>3.3071999999999999</v>
      </c>
      <c r="D35" s="1">
        <v>3.0110000000000001</v>
      </c>
      <c r="E35" s="1">
        <v>0.74890000000000001</v>
      </c>
      <c r="F35" s="1">
        <v>0.67589999999999995</v>
      </c>
      <c r="G35" s="1">
        <v>0.3997</v>
      </c>
      <c r="H35" s="1">
        <v>0.54310000000000003</v>
      </c>
      <c r="I35" s="1">
        <v>0.35560000000000003</v>
      </c>
      <c r="J35" s="1">
        <v>0.54010000000000002</v>
      </c>
      <c r="K35" s="1">
        <v>3.3690000000000002</v>
      </c>
      <c r="L35" s="1">
        <v>3.2631000000000001</v>
      </c>
      <c r="M35" s="1">
        <v>3.3235999999999999</v>
      </c>
      <c r="N35" s="1">
        <v>3.3001</v>
      </c>
      <c r="O35" s="1">
        <v>3.2963</v>
      </c>
      <c r="P35" s="1">
        <v>3.3206000000000002</v>
      </c>
      <c r="Q35" s="1">
        <v>3.2042999999999999</v>
      </c>
      <c r="R35" s="1">
        <v>3.3212999999999999</v>
      </c>
      <c r="S35" s="1">
        <v>3.2524999999999999</v>
      </c>
      <c r="T35" s="1">
        <v>0.91839999999999999</v>
      </c>
      <c r="U35" s="1">
        <v>0.77480000000000004</v>
      </c>
      <c r="V35" s="1">
        <v>0.82569999999999999</v>
      </c>
      <c r="W35" s="1">
        <v>2.3913000000000002</v>
      </c>
      <c r="X35" s="1">
        <v>2.6286</v>
      </c>
      <c r="Y35" s="1">
        <v>2.4363000000000001</v>
      </c>
    </row>
    <row r="36" spans="1:25" x14ac:dyDescent="0.3">
      <c r="A36" s="3">
        <f>A35/3</f>
        <v>3.3333333333333335</v>
      </c>
      <c r="B36" s="1">
        <v>3.0874999999999999</v>
      </c>
      <c r="C36" s="1">
        <v>3.1213000000000002</v>
      </c>
      <c r="D36" s="1">
        <v>3.1132</v>
      </c>
      <c r="E36" s="1">
        <v>0.25230000000000002</v>
      </c>
      <c r="F36" s="1">
        <v>0.36320000000000002</v>
      </c>
      <c r="G36" s="1">
        <v>0.31019999999999998</v>
      </c>
      <c r="H36" s="1">
        <v>0.2389</v>
      </c>
      <c r="I36" s="1">
        <v>0.19020000000000001</v>
      </c>
      <c r="J36" s="1">
        <v>0.2082</v>
      </c>
      <c r="K36" s="1">
        <v>3.3673000000000002</v>
      </c>
      <c r="L36" s="1">
        <v>3.3046000000000002</v>
      </c>
      <c r="M36" s="1">
        <v>3.4354</v>
      </c>
      <c r="N36" s="1">
        <v>3.2816000000000001</v>
      </c>
      <c r="O36" s="1">
        <v>3.1364999999999998</v>
      </c>
      <c r="P36" s="1">
        <v>3.3702999999999999</v>
      </c>
      <c r="Q36" s="1">
        <v>2.9474</v>
      </c>
      <c r="R36" s="1">
        <v>2.8496000000000001</v>
      </c>
      <c r="S36" s="1">
        <v>3.0508999999999999</v>
      </c>
      <c r="T36" s="1">
        <v>0.52500000000000002</v>
      </c>
      <c r="U36" s="1">
        <v>0.51439999999999997</v>
      </c>
      <c r="V36" s="1">
        <v>0.5212</v>
      </c>
      <c r="W36" s="1">
        <v>0.96379999999999999</v>
      </c>
      <c r="X36" s="1">
        <v>1.3329</v>
      </c>
      <c r="Y36" s="1">
        <v>1.5485</v>
      </c>
    </row>
    <row r="37" spans="1:25" x14ac:dyDescent="0.3">
      <c r="A37" s="3">
        <f t="shared" ref="A37:A42" si="0">A36/3</f>
        <v>1.1111111111111112</v>
      </c>
      <c r="B37" s="1">
        <v>2.4053</v>
      </c>
      <c r="C37" s="1">
        <v>2.3561000000000001</v>
      </c>
      <c r="D37" s="1">
        <v>2.5672999999999999</v>
      </c>
      <c r="E37" s="1">
        <v>0.1966</v>
      </c>
      <c r="F37" s="1">
        <v>0.2394</v>
      </c>
      <c r="G37" s="1">
        <v>0.16420000000000001</v>
      </c>
      <c r="H37" s="1">
        <v>0.16309999999999999</v>
      </c>
      <c r="I37" s="1">
        <v>0.12870000000000001</v>
      </c>
      <c r="J37" s="1">
        <v>0.12839999999999999</v>
      </c>
      <c r="K37" s="1">
        <v>2.8811</v>
      </c>
      <c r="L37" s="1">
        <v>2.6398000000000001</v>
      </c>
      <c r="M37" s="1">
        <v>2.86</v>
      </c>
      <c r="N37" s="1">
        <v>3.3813</v>
      </c>
      <c r="O37" s="1">
        <v>3.1229</v>
      </c>
      <c r="P37" s="1">
        <v>3.3580999999999999</v>
      </c>
      <c r="Q37" s="1">
        <v>2.2160000000000002</v>
      </c>
      <c r="R37" s="1">
        <v>2.1486000000000001</v>
      </c>
      <c r="S37" s="1">
        <v>2.1518000000000002</v>
      </c>
      <c r="T37" s="1">
        <v>0.35410000000000003</v>
      </c>
      <c r="U37" s="1">
        <v>0.31419999999999998</v>
      </c>
      <c r="V37" s="1">
        <v>0.32450000000000001</v>
      </c>
      <c r="W37" s="1">
        <v>0.80910000000000004</v>
      </c>
      <c r="X37" s="1">
        <v>0.84530000000000005</v>
      </c>
      <c r="Y37" s="1">
        <v>1.2043999999999999</v>
      </c>
    </row>
    <row r="38" spans="1:25" x14ac:dyDescent="0.3">
      <c r="A38" s="3">
        <f t="shared" si="0"/>
        <v>0.37037037037037041</v>
      </c>
      <c r="B38" s="1">
        <v>1.7525999999999999</v>
      </c>
      <c r="C38" s="1">
        <v>1.3160000000000001</v>
      </c>
      <c r="D38" s="1">
        <v>1.7508999999999999</v>
      </c>
      <c r="E38" s="1">
        <v>0.13420000000000001</v>
      </c>
      <c r="F38" s="1">
        <v>0.15640000000000001</v>
      </c>
      <c r="G38" s="1">
        <v>0.11940000000000001</v>
      </c>
      <c r="H38" s="1">
        <v>0.1089</v>
      </c>
      <c r="I38" s="1">
        <v>0.1081</v>
      </c>
      <c r="J38" s="1">
        <v>0.1153</v>
      </c>
      <c r="K38" s="1">
        <v>3.2675000000000001</v>
      </c>
      <c r="L38" s="1">
        <v>2.7155999999999998</v>
      </c>
      <c r="M38" s="1">
        <v>3.2456</v>
      </c>
      <c r="N38" s="1">
        <v>3.0024000000000002</v>
      </c>
      <c r="O38" s="1">
        <v>3.3837000000000002</v>
      </c>
      <c r="P38" s="1">
        <v>3.2056</v>
      </c>
      <c r="Q38" s="1">
        <v>1.2572000000000001</v>
      </c>
      <c r="R38" s="1">
        <v>1.1923999999999999</v>
      </c>
      <c r="S38" s="1">
        <v>1.2321</v>
      </c>
      <c r="T38" s="1">
        <v>0.2235</v>
      </c>
      <c r="U38" s="1">
        <v>0.1883</v>
      </c>
      <c r="V38" s="1">
        <v>0.20810000000000001</v>
      </c>
      <c r="W38" s="1">
        <v>0.41539999999999999</v>
      </c>
      <c r="X38" s="1">
        <v>0.56200000000000006</v>
      </c>
      <c r="Y38" s="1">
        <v>0.5907</v>
      </c>
    </row>
    <row r="39" spans="1:25" x14ac:dyDescent="0.3">
      <c r="A39" s="3">
        <f t="shared" si="0"/>
        <v>0.1234567901234568</v>
      </c>
      <c r="B39" s="1">
        <v>1.0341</v>
      </c>
      <c r="C39" s="1">
        <v>1.0203</v>
      </c>
      <c r="D39" s="1">
        <v>1.1208</v>
      </c>
      <c r="E39" s="1">
        <v>9.7699999999999995E-2</v>
      </c>
      <c r="F39" s="1">
        <v>0.111</v>
      </c>
      <c r="G39" s="1">
        <v>9.5399999999999999E-2</v>
      </c>
      <c r="H39" s="1">
        <v>8.6499999999999994E-2</v>
      </c>
      <c r="I39" s="1">
        <v>9.2700000000000005E-2</v>
      </c>
      <c r="J39" s="1">
        <v>8.4500000000000006E-2</v>
      </c>
      <c r="K39" s="1">
        <v>3.3742000000000001</v>
      </c>
      <c r="L39" s="1">
        <v>3.1486999999999998</v>
      </c>
      <c r="M39" s="1">
        <v>3.2940999999999998</v>
      </c>
      <c r="N39" s="1">
        <v>3.2265999999999999</v>
      </c>
      <c r="O39" s="1">
        <v>3.2292000000000001</v>
      </c>
      <c r="P39" s="1">
        <v>2.5131000000000001</v>
      </c>
      <c r="Q39" s="1">
        <v>0.61219999999999997</v>
      </c>
      <c r="R39" s="1">
        <v>0.6552</v>
      </c>
      <c r="S39" s="1">
        <v>0.63449999999999995</v>
      </c>
      <c r="T39" s="1">
        <v>0.15440000000000001</v>
      </c>
      <c r="U39" s="1">
        <v>0.13789999999999999</v>
      </c>
      <c r="V39" s="1">
        <v>0.1268</v>
      </c>
      <c r="W39" s="1">
        <v>0.19889999999999999</v>
      </c>
      <c r="X39" s="1">
        <v>0.26479999999999998</v>
      </c>
      <c r="Y39" s="1">
        <v>0.29809999999999998</v>
      </c>
    </row>
    <row r="40" spans="1:25" x14ac:dyDescent="0.3">
      <c r="A40" s="3">
        <f t="shared" si="0"/>
        <v>4.1152263374485597E-2</v>
      </c>
      <c r="B40" s="1">
        <v>0.56310000000000004</v>
      </c>
      <c r="C40" s="1">
        <v>0.35610000000000003</v>
      </c>
      <c r="D40" s="1">
        <v>0.63</v>
      </c>
      <c r="E40" s="1">
        <v>8.5000000000000006E-2</v>
      </c>
      <c r="F40" s="1">
        <v>8.7599999999999997E-2</v>
      </c>
      <c r="G40" s="1">
        <v>8.1199999999999994E-2</v>
      </c>
      <c r="H40" s="1">
        <v>7.8E-2</v>
      </c>
      <c r="I40" s="1">
        <v>8.8499999999999995E-2</v>
      </c>
      <c r="J40" s="1">
        <v>8.1699999999999995E-2</v>
      </c>
      <c r="K40" s="1">
        <v>3.1202000000000001</v>
      </c>
      <c r="L40" s="1">
        <v>3.2827999999999999</v>
      </c>
      <c r="M40" s="1">
        <v>3.3231000000000002</v>
      </c>
      <c r="N40" s="1">
        <v>3.3126000000000002</v>
      </c>
      <c r="O40" s="1">
        <v>3.3473999999999999</v>
      </c>
      <c r="P40" s="1">
        <v>3.3119999999999998</v>
      </c>
      <c r="Q40" s="1">
        <v>0.30020000000000002</v>
      </c>
      <c r="R40" s="1">
        <v>0.32619999999999999</v>
      </c>
      <c r="S40" s="1">
        <v>0.30880000000000002</v>
      </c>
      <c r="T40" s="1">
        <v>0.1046</v>
      </c>
      <c r="U40" s="1">
        <v>0.1014</v>
      </c>
      <c r="V40" s="1">
        <v>9.6500000000000002E-2</v>
      </c>
      <c r="W40" s="1">
        <v>0.18340000000000001</v>
      </c>
      <c r="X40" s="1">
        <v>0.1484</v>
      </c>
      <c r="Y40" s="1">
        <v>0.15060000000000001</v>
      </c>
    </row>
    <row r="41" spans="1:25" x14ac:dyDescent="0.3">
      <c r="A41" s="3">
        <f t="shared" si="0"/>
        <v>1.3717421124828532E-2</v>
      </c>
      <c r="B41" s="1">
        <v>0.27460000000000001</v>
      </c>
      <c r="C41" s="1">
        <v>0.2681</v>
      </c>
      <c r="D41" s="1">
        <v>0.32529999999999998</v>
      </c>
      <c r="E41" s="1">
        <v>8.2100000000000006E-2</v>
      </c>
      <c r="F41" s="1">
        <v>8.4400000000000003E-2</v>
      </c>
      <c r="G41" s="1">
        <v>8.1500000000000003E-2</v>
      </c>
      <c r="H41" s="1">
        <v>8.2100000000000006E-2</v>
      </c>
      <c r="I41" s="1">
        <v>8.6999999999999994E-2</v>
      </c>
      <c r="J41" s="1">
        <v>7.6499999999999999E-2</v>
      </c>
      <c r="K41" s="1">
        <v>3.3715000000000002</v>
      </c>
      <c r="L41" s="1">
        <v>3.2837000000000001</v>
      </c>
      <c r="M41" s="1">
        <v>3.3847999999999998</v>
      </c>
      <c r="N41" s="1">
        <v>3.3134999999999999</v>
      </c>
      <c r="O41" s="1">
        <v>3.3355000000000001</v>
      </c>
      <c r="P41" s="1">
        <v>3.3235999999999999</v>
      </c>
      <c r="Q41" s="1">
        <v>0.21390000000000001</v>
      </c>
      <c r="R41" s="1">
        <v>0.22109999999999999</v>
      </c>
      <c r="S41" s="1">
        <v>0.17349999999999999</v>
      </c>
      <c r="T41" s="1">
        <v>8.6199999999999999E-2</v>
      </c>
      <c r="U41" s="1">
        <v>8.5599999999999996E-2</v>
      </c>
      <c r="V41" s="1">
        <v>8.3199999999999996E-2</v>
      </c>
      <c r="W41" s="1">
        <v>0.1181</v>
      </c>
      <c r="X41" s="1">
        <v>0.1183</v>
      </c>
      <c r="Y41" s="1">
        <v>0.1047</v>
      </c>
    </row>
    <row r="42" spans="1:25" x14ac:dyDescent="0.3">
      <c r="A42" s="3">
        <f t="shared" si="0"/>
        <v>4.5724737082761769E-3</v>
      </c>
      <c r="B42" s="1">
        <v>0.16109999999999999</v>
      </c>
      <c r="C42" s="1">
        <v>0.16159999999999999</v>
      </c>
      <c r="D42" s="1">
        <v>0.19309999999999999</v>
      </c>
      <c r="E42" s="1">
        <v>7.6499999999999999E-2</v>
      </c>
      <c r="F42" s="1">
        <v>7.6799999999999993E-2</v>
      </c>
      <c r="G42" s="1">
        <v>7.6300000000000007E-2</v>
      </c>
      <c r="H42" s="1">
        <v>7.4700000000000003E-2</v>
      </c>
      <c r="I42" s="1">
        <v>8.4000000000000005E-2</v>
      </c>
      <c r="J42" s="1">
        <v>7.7299999999999994E-2</v>
      </c>
      <c r="K42" s="1">
        <v>3.1320000000000001</v>
      </c>
      <c r="L42" s="1">
        <v>3.0569000000000002</v>
      </c>
      <c r="M42" s="1">
        <v>3.3058999999999998</v>
      </c>
      <c r="N42" s="1">
        <v>2.9823</v>
      </c>
      <c r="O42" s="1">
        <v>3.1812</v>
      </c>
      <c r="P42" s="1">
        <v>2.8765999999999998</v>
      </c>
      <c r="Q42" s="1">
        <v>0.1351</v>
      </c>
      <c r="R42" s="1">
        <v>0.1331</v>
      </c>
      <c r="S42" s="1">
        <v>0.12239999999999999</v>
      </c>
      <c r="T42" s="1">
        <v>7.8200000000000006E-2</v>
      </c>
      <c r="U42" s="1">
        <v>7.9000000000000001E-2</v>
      </c>
      <c r="V42" s="1">
        <v>7.9399999999999998E-2</v>
      </c>
      <c r="W42" s="1">
        <v>9.1600000000000001E-2</v>
      </c>
      <c r="X42" s="1">
        <v>9.1899999999999996E-2</v>
      </c>
      <c r="Y42" s="1">
        <v>9.5399999999999999E-2</v>
      </c>
    </row>
    <row r="43" spans="1:25" ht="28.8" x14ac:dyDescent="0.55000000000000004">
      <c r="A43" s="6"/>
      <c r="B43" s="13" t="s">
        <v>82</v>
      </c>
      <c r="C43" s="13"/>
      <c r="D43" s="13"/>
      <c r="E43" s="14" t="s">
        <v>83</v>
      </c>
      <c r="F43" s="15"/>
      <c r="G43" s="16"/>
      <c r="H43" s="17" t="s">
        <v>84</v>
      </c>
      <c r="I43" s="18"/>
      <c r="J43" s="19"/>
      <c r="K43" s="20" t="s">
        <v>85</v>
      </c>
      <c r="L43" s="21"/>
      <c r="M43" s="22"/>
      <c r="N43" s="23" t="s">
        <v>86</v>
      </c>
      <c r="O43" s="24"/>
      <c r="P43" s="25"/>
      <c r="Q43" s="17" t="s">
        <v>87</v>
      </c>
      <c r="R43" s="18"/>
      <c r="S43" s="19"/>
      <c r="T43" s="26" t="s">
        <v>88</v>
      </c>
      <c r="U43" s="27"/>
      <c r="V43" s="28"/>
      <c r="W43" s="29" t="s">
        <v>81</v>
      </c>
      <c r="X43" s="30"/>
      <c r="Y43" s="31"/>
    </row>
    <row r="44" spans="1:25" x14ac:dyDescent="0.3">
      <c r="A44" s="3">
        <v>10</v>
      </c>
      <c r="B44" s="1">
        <v>3.4278</v>
      </c>
      <c r="C44" s="1">
        <v>3.3963999999999999</v>
      </c>
      <c r="D44" s="1">
        <v>3.4403000000000001</v>
      </c>
      <c r="E44" s="1">
        <v>0.43230000000000002</v>
      </c>
      <c r="F44" s="1">
        <v>0.49340000000000001</v>
      </c>
      <c r="G44" s="1">
        <v>0.56420000000000003</v>
      </c>
      <c r="H44" s="1">
        <v>1.0402</v>
      </c>
      <c r="I44" s="1">
        <v>0.80659999999999998</v>
      </c>
      <c r="J44" s="1">
        <v>1.0336000000000001</v>
      </c>
      <c r="K44" s="1">
        <v>3.3513999999999999</v>
      </c>
      <c r="L44" s="1">
        <v>3.2825000000000002</v>
      </c>
      <c r="M44" s="1">
        <v>3.2475999999999998</v>
      </c>
      <c r="N44" s="1">
        <v>0.68500000000000005</v>
      </c>
      <c r="O44" s="1">
        <v>0.59079999999999999</v>
      </c>
      <c r="P44" s="1">
        <v>0.59889999999999999</v>
      </c>
      <c r="Q44" s="1">
        <v>3.3168000000000002</v>
      </c>
      <c r="R44" s="1">
        <v>3.2957999999999998</v>
      </c>
      <c r="S44" s="1">
        <v>3.4226000000000001</v>
      </c>
      <c r="T44" s="1">
        <v>9.9500000000000005E-2</v>
      </c>
      <c r="U44" s="1">
        <v>0.1028</v>
      </c>
      <c r="V44" s="1">
        <v>0.1053</v>
      </c>
      <c r="W44" s="1">
        <v>2.4287999999999998</v>
      </c>
      <c r="X44" s="1">
        <v>2.8704999999999998</v>
      </c>
      <c r="Y44" s="1">
        <v>2.4508000000000001</v>
      </c>
    </row>
    <row r="45" spans="1:25" x14ac:dyDescent="0.3">
      <c r="A45" s="3">
        <f>A44/3</f>
        <v>3.3333333333333335</v>
      </c>
      <c r="B45" s="1">
        <v>3.3611</v>
      </c>
      <c r="C45" s="1">
        <v>3.3580000000000001</v>
      </c>
      <c r="D45" s="1">
        <v>3.2502</v>
      </c>
      <c r="E45" s="1">
        <v>0.26779999999999998</v>
      </c>
      <c r="F45" s="1">
        <v>0.2535</v>
      </c>
      <c r="G45" s="1">
        <v>0.23180000000000001</v>
      </c>
      <c r="H45" s="1">
        <v>0.5242</v>
      </c>
      <c r="I45" s="1">
        <v>0.4728</v>
      </c>
      <c r="J45" s="1">
        <v>0.5121</v>
      </c>
      <c r="K45" s="1">
        <v>3.0672999999999999</v>
      </c>
      <c r="L45" s="1">
        <v>3.2288000000000001</v>
      </c>
      <c r="M45" s="1">
        <v>3.3353999999999999</v>
      </c>
      <c r="N45" s="1">
        <v>0.36130000000000001</v>
      </c>
      <c r="O45" s="1">
        <v>0.29530000000000001</v>
      </c>
      <c r="P45" s="1">
        <v>0.313</v>
      </c>
      <c r="Q45" s="1">
        <v>3.3496000000000001</v>
      </c>
      <c r="R45" s="1">
        <v>3.3639000000000001</v>
      </c>
      <c r="S45" s="1">
        <v>2.7930999999999999</v>
      </c>
      <c r="T45" s="1">
        <v>8.7400000000000005E-2</v>
      </c>
      <c r="U45" s="1">
        <v>0.1016</v>
      </c>
      <c r="V45" s="1">
        <v>7.8299999999999995E-2</v>
      </c>
      <c r="W45" s="1">
        <v>2.1543999999999999</v>
      </c>
      <c r="X45" s="1">
        <v>2.3102999999999998</v>
      </c>
      <c r="Y45" s="1">
        <v>1.9256</v>
      </c>
    </row>
    <row r="46" spans="1:25" x14ac:dyDescent="0.3">
      <c r="A46" s="3">
        <f t="shared" ref="A46:A51" si="1">A45/3</f>
        <v>1.1111111111111112</v>
      </c>
      <c r="B46" s="1">
        <v>3.3206000000000002</v>
      </c>
      <c r="C46" s="1">
        <v>3.3477000000000001</v>
      </c>
      <c r="D46" s="1">
        <v>3.2740999999999998</v>
      </c>
      <c r="E46" s="1">
        <v>0.16170000000000001</v>
      </c>
      <c r="F46" s="1">
        <v>0.15939999999999999</v>
      </c>
      <c r="G46" s="1">
        <v>0.1628</v>
      </c>
      <c r="H46" s="1">
        <v>0.2828</v>
      </c>
      <c r="I46" s="1">
        <v>0.27379999999999999</v>
      </c>
      <c r="J46" s="1">
        <v>0.34739999999999999</v>
      </c>
      <c r="K46" s="1">
        <v>2.6118000000000001</v>
      </c>
      <c r="L46" s="1">
        <v>3.0836000000000001</v>
      </c>
      <c r="M46" s="1">
        <v>2.9899</v>
      </c>
      <c r="N46" s="1">
        <v>0.21160000000000001</v>
      </c>
      <c r="O46" s="1">
        <v>0.1686</v>
      </c>
      <c r="P46" s="1">
        <v>0.1905</v>
      </c>
      <c r="Q46" s="1">
        <v>3.2057000000000002</v>
      </c>
      <c r="R46" s="1">
        <v>3.3006000000000002</v>
      </c>
      <c r="S46" s="1">
        <v>3.1276999999999999</v>
      </c>
      <c r="T46" s="1">
        <v>7.4099999999999999E-2</v>
      </c>
      <c r="U46" s="1">
        <v>7.5600000000000001E-2</v>
      </c>
      <c r="V46" s="1">
        <v>7.8E-2</v>
      </c>
      <c r="W46" s="1">
        <v>1.4593</v>
      </c>
      <c r="X46" s="1">
        <v>1.4195</v>
      </c>
      <c r="Y46" s="1">
        <v>1.4833000000000001</v>
      </c>
    </row>
    <row r="47" spans="1:25" x14ac:dyDescent="0.3">
      <c r="A47" s="3">
        <f t="shared" si="1"/>
        <v>0.37037037037037041</v>
      </c>
      <c r="B47" s="1">
        <v>3.3504</v>
      </c>
      <c r="C47" s="1">
        <v>3.3441999999999998</v>
      </c>
      <c r="D47" s="1">
        <v>3.3214999999999999</v>
      </c>
      <c r="E47" s="1">
        <v>0.1193</v>
      </c>
      <c r="F47" s="1">
        <v>0.1215</v>
      </c>
      <c r="G47" s="1">
        <v>0.1188</v>
      </c>
      <c r="H47" s="1">
        <v>0.19209999999999999</v>
      </c>
      <c r="I47" s="1">
        <v>0.18909999999999999</v>
      </c>
      <c r="J47" s="1">
        <v>0.19500000000000001</v>
      </c>
      <c r="K47" s="1">
        <v>2.3774999999999999</v>
      </c>
      <c r="L47" s="1">
        <v>2.5655000000000001</v>
      </c>
      <c r="M47" s="1">
        <v>2.5870000000000002</v>
      </c>
      <c r="N47" s="1">
        <v>0.14050000000000001</v>
      </c>
      <c r="O47" s="1">
        <v>0.1376</v>
      </c>
      <c r="P47" s="1">
        <v>0.1273</v>
      </c>
      <c r="Q47" s="1">
        <v>3.2530999999999999</v>
      </c>
      <c r="R47" s="1">
        <v>3.3679999999999999</v>
      </c>
      <c r="S47" s="1">
        <v>3.1341999999999999</v>
      </c>
      <c r="T47" s="1">
        <v>7.6399999999999996E-2</v>
      </c>
      <c r="U47" s="1">
        <v>7.2400000000000006E-2</v>
      </c>
      <c r="V47" s="1">
        <v>7.2099999999999997E-2</v>
      </c>
      <c r="W47" s="1">
        <v>0.82150000000000001</v>
      </c>
      <c r="X47" s="1">
        <v>0.88649999999999995</v>
      </c>
      <c r="Y47" s="1">
        <v>1.0161</v>
      </c>
    </row>
    <row r="48" spans="1:25" x14ac:dyDescent="0.3">
      <c r="A48" s="3">
        <f t="shared" si="1"/>
        <v>0.1234567901234568</v>
      </c>
      <c r="B48" s="1">
        <v>3.2513999999999998</v>
      </c>
      <c r="C48" s="1">
        <v>3.3668</v>
      </c>
      <c r="D48" s="1">
        <v>3.1492</v>
      </c>
      <c r="E48" s="1">
        <v>9.4500000000000001E-2</v>
      </c>
      <c r="F48" s="1">
        <v>9.5399999999999999E-2</v>
      </c>
      <c r="G48" s="1">
        <v>9.3899999999999997E-2</v>
      </c>
      <c r="H48" s="1">
        <v>0.13189999999999999</v>
      </c>
      <c r="I48" s="1">
        <v>0.1394</v>
      </c>
      <c r="J48" s="1">
        <v>0.1293</v>
      </c>
      <c r="K48" s="1">
        <v>1.3797999999999999</v>
      </c>
      <c r="L48" s="1">
        <v>1.3978999999999999</v>
      </c>
      <c r="M48" s="1">
        <v>1.6407</v>
      </c>
      <c r="N48" s="1">
        <v>0.1028</v>
      </c>
      <c r="O48" s="1">
        <v>9.8199999999999996E-2</v>
      </c>
      <c r="P48" s="1">
        <v>9.9199999999999997E-2</v>
      </c>
      <c r="Q48" s="1">
        <v>3.2759999999999998</v>
      </c>
      <c r="R48" s="1">
        <v>3.3538000000000001</v>
      </c>
      <c r="S48" s="1">
        <v>3.37</v>
      </c>
      <c r="T48" s="1">
        <v>7.17E-2</v>
      </c>
      <c r="U48" s="1">
        <v>7.5999999999999998E-2</v>
      </c>
      <c r="V48" s="1">
        <v>7.4099999999999999E-2</v>
      </c>
      <c r="W48" s="1">
        <v>0.26190000000000002</v>
      </c>
      <c r="X48" s="1">
        <v>0.48899999999999999</v>
      </c>
      <c r="Y48" s="1">
        <v>0.39589999999999997</v>
      </c>
    </row>
    <row r="49" spans="1:25" x14ac:dyDescent="0.3">
      <c r="A49" s="3">
        <f t="shared" si="1"/>
        <v>4.1152263374485597E-2</v>
      </c>
      <c r="B49" s="1">
        <v>2.3896999999999999</v>
      </c>
      <c r="C49" s="1">
        <v>2.8769999999999998</v>
      </c>
      <c r="D49" s="1">
        <v>3.1476999999999999</v>
      </c>
      <c r="E49" s="1">
        <v>8.6099999999999996E-2</v>
      </c>
      <c r="F49" s="1">
        <v>8.3400000000000002E-2</v>
      </c>
      <c r="G49" s="1">
        <v>8.2000000000000003E-2</v>
      </c>
      <c r="H49" s="1">
        <v>9.4399999999999998E-2</v>
      </c>
      <c r="I49" s="1">
        <v>0.107</v>
      </c>
      <c r="J49" s="1">
        <v>9.7299999999999998E-2</v>
      </c>
      <c r="K49" s="1">
        <v>0.6159</v>
      </c>
      <c r="L49" s="1">
        <v>0.67930000000000001</v>
      </c>
      <c r="M49" s="1">
        <v>0.56399999999999995</v>
      </c>
      <c r="N49" s="1">
        <v>8.9300000000000004E-2</v>
      </c>
      <c r="O49" s="1">
        <v>8.4599999999999995E-2</v>
      </c>
      <c r="P49" s="1">
        <v>7.9399999999999998E-2</v>
      </c>
      <c r="Q49" s="1">
        <v>3.3294999999999999</v>
      </c>
      <c r="R49" s="1">
        <v>3.2793000000000001</v>
      </c>
      <c r="S49" s="1">
        <v>3.2810999999999999</v>
      </c>
      <c r="T49" s="1">
        <v>7.2300000000000003E-2</v>
      </c>
      <c r="U49" s="1">
        <v>7.1099999999999997E-2</v>
      </c>
      <c r="V49" s="1">
        <v>7.1199999999999999E-2</v>
      </c>
      <c r="W49" s="1">
        <v>0.20019999999999999</v>
      </c>
      <c r="X49" s="1">
        <v>0.3085</v>
      </c>
      <c r="Y49" s="1">
        <v>0.20860000000000001</v>
      </c>
    </row>
    <row r="50" spans="1:25" x14ac:dyDescent="0.3">
      <c r="A50" s="3">
        <f t="shared" si="1"/>
        <v>1.3717421124828532E-2</v>
      </c>
      <c r="B50" s="1">
        <v>1.7591000000000001</v>
      </c>
      <c r="C50" s="1">
        <v>2.2124000000000001</v>
      </c>
      <c r="D50" s="1">
        <v>1.3774999999999999</v>
      </c>
      <c r="E50" s="1">
        <v>8.8599999999999998E-2</v>
      </c>
      <c r="F50" s="1">
        <v>7.8399999999999997E-2</v>
      </c>
      <c r="G50" s="1">
        <v>7.7299999999999994E-2</v>
      </c>
      <c r="H50" s="1">
        <v>8.3900000000000002E-2</v>
      </c>
      <c r="I50" s="1">
        <v>9.6299999999999997E-2</v>
      </c>
      <c r="J50" s="1">
        <v>8.2400000000000001E-2</v>
      </c>
      <c r="K50" s="1">
        <v>0.33040000000000003</v>
      </c>
      <c r="L50" s="1">
        <v>0.32929999999999998</v>
      </c>
      <c r="M50" s="1">
        <v>0.25369999999999998</v>
      </c>
      <c r="N50" s="1">
        <v>8.1500000000000003E-2</v>
      </c>
      <c r="O50" s="1">
        <v>7.1800000000000003E-2</v>
      </c>
      <c r="P50" s="1">
        <v>8.3599999999999994E-2</v>
      </c>
      <c r="Q50" s="1">
        <v>2.3511000000000002</v>
      </c>
      <c r="R50" s="1">
        <v>2.1373000000000002</v>
      </c>
      <c r="S50" s="1">
        <v>1.9732000000000001</v>
      </c>
      <c r="T50" s="1">
        <v>7.4700000000000003E-2</v>
      </c>
      <c r="U50" s="1">
        <v>6.9199999999999998E-2</v>
      </c>
      <c r="V50" s="1">
        <v>7.2599999999999998E-2</v>
      </c>
      <c r="W50" s="1">
        <v>0.15409999999999999</v>
      </c>
      <c r="X50" s="1">
        <v>0.15049999999999999</v>
      </c>
      <c r="Y50" s="1">
        <v>0.1492</v>
      </c>
    </row>
    <row r="51" spans="1:25" x14ac:dyDescent="0.3">
      <c r="A51" s="3">
        <f t="shared" si="1"/>
        <v>4.5724737082761769E-3</v>
      </c>
      <c r="B51" s="1">
        <v>1.0630999999999999</v>
      </c>
      <c r="C51" s="1">
        <v>1.1952</v>
      </c>
      <c r="D51" s="1">
        <v>0.95660000000000001</v>
      </c>
      <c r="E51" s="1">
        <v>7.3999999999999996E-2</v>
      </c>
      <c r="F51" s="1">
        <v>7.5399999999999995E-2</v>
      </c>
      <c r="G51" s="1">
        <v>7.3800000000000004E-2</v>
      </c>
      <c r="H51" s="1">
        <v>7.9699999999999993E-2</v>
      </c>
      <c r="I51" s="1">
        <v>8.5900000000000004E-2</v>
      </c>
      <c r="J51" s="1">
        <v>7.7399999999999997E-2</v>
      </c>
      <c r="K51" s="1">
        <v>0.13589999999999999</v>
      </c>
      <c r="L51" s="1">
        <v>0.15970000000000001</v>
      </c>
      <c r="M51" s="1">
        <v>0.18</v>
      </c>
      <c r="N51" s="1">
        <v>8.3400000000000002E-2</v>
      </c>
      <c r="O51" s="1">
        <v>7.3300000000000004E-2</v>
      </c>
      <c r="P51" s="1">
        <v>7.3099999999999998E-2</v>
      </c>
      <c r="Q51" s="1">
        <v>1.2122999999999999</v>
      </c>
      <c r="R51" s="1">
        <v>1.1358999999999999</v>
      </c>
      <c r="S51" s="1">
        <v>0.80810000000000004</v>
      </c>
      <c r="T51" s="1">
        <v>7.2099999999999997E-2</v>
      </c>
      <c r="U51" s="1">
        <v>6.9500000000000006E-2</v>
      </c>
      <c r="V51" s="1">
        <v>6.9000000000000006E-2</v>
      </c>
      <c r="W51" s="1">
        <v>0.1026</v>
      </c>
      <c r="X51" s="1">
        <v>0.1139</v>
      </c>
      <c r="Y51" s="1">
        <v>8.9899999999999994E-2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70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43:D43"/>
    <mergeCell ref="E43:G43"/>
    <mergeCell ref="H43:J43"/>
    <mergeCell ref="K43:M43"/>
    <mergeCell ref="N43:P43"/>
    <mergeCell ref="Q43:S43"/>
    <mergeCell ref="T43:V43"/>
    <mergeCell ref="W43:Y43"/>
    <mergeCell ref="B34:D34"/>
    <mergeCell ref="E34:G34"/>
    <mergeCell ref="H34:J34"/>
    <mergeCell ref="K34:M34"/>
    <mergeCell ref="N34:P34"/>
    <mergeCell ref="Q34:S34"/>
  </mergeCells>
  <conditionalFormatting sqref="B35:Y42 B44:Y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3A9F-38E0-4AF9-A4D4-C3FC8A3A57D5}">
  <dimension ref="A1:J17"/>
  <sheetViews>
    <sheetView workbookViewId="0">
      <selection activeCell="H2" sqref="H2:I2"/>
    </sheetView>
  </sheetViews>
  <sheetFormatPr defaultRowHeight="14.4" x14ac:dyDescent="0.3"/>
  <cols>
    <col min="4" max="4" width="11.33203125" customWidth="1"/>
    <col min="5" max="5" width="10.77734375" customWidth="1"/>
    <col min="10" max="10" width="10" bestFit="1" customWidth="1"/>
  </cols>
  <sheetData>
    <row r="1" spans="1:10" x14ac:dyDescent="0.3">
      <c r="A1" t="s">
        <v>101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10" x14ac:dyDescent="0.3">
      <c r="A2" t="s">
        <v>73</v>
      </c>
      <c r="B2">
        <v>0.68547000000000002</v>
      </c>
      <c r="C2">
        <v>5.11435</v>
      </c>
      <c r="D2" t="s">
        <v>100</v>
      </c>
      <c r="E2" t="s">
        <v>100</v>
      </c>
      <c r="F2">
        <v>1.54819</v>
      </c>
      <c r="G2">
        <v>0.94715000000000005</v>
      </c>
      <c r="H2" t="s">
        <v>98</v>
      </c>
      <c r="I2">
        <v>0.38646999999999998</v>
      </c>
      <c r="J2">
        <f>I2*80/1000</f>
        <v>3.09176E-2</v>
      </c>
    </row>
    <row r="3" spans="1:10" x14ac:dyDescent="0.3">
      <c r="A3" t="s">
        <v>74</v>
      </c>
      <c r="B3">
        <v>2.4031099999999999</v>
      </c>
      <c r="C3">
        <v>209.44856999999999</v>
      </c>
      <c r="D3" t="s">
        <v>100</v>
      </c>
      <c r="E3" t="s">
        <v>100</v>
      </c>
      <c r="F3">
        <v>202.54638</v>
      </c>
      <c r="G3">
        <v>0.34505999999999998</v>
      </c>
      <c r="H3">
        <v>56.826160000000002</v>
      </c>
      <c r="I3">
        <v>0.38727</v>
      </c>
    </row>
    <row r="4" spans="1:10" x14ac:dyDescent="0.3">
      <c r="A4" t="s">
        <v>75</v>
      </c>
      <c r="B4">
        <v>0.28576000000000001</v>
      </c>
      <c r="C4" t="s">
        <v>98</v>
      </c>
      <c r="D4" t="s">
        <v>100</v>
      </c>
      <c r="E4" t="s">
        <v>100</v>
      </c>
      <c r="F4">
        <v>274.02118999999999</v>
      </c>
      <c r="G4">
        <v>12.69209</v>
      </c>
      <c r="H4">
        <v>3.3269500000000001</v>
      </c>
      <c r="I4">
        <v>24.279129999999999</v>
      </c>
    </row>
    <row r="5" spans="1:10" x14ac:dyDescent="0.3">
      <c r="A5" t="s">
        <v>76</v>
      </c>
      <c r="B5">
        <v>9.5960000000000004E-2</v>
      </c>
      <c r="C5">
        <v>9.0700000000000003E-2</v>
      </c>
      <c r="D5" t="s">
        <v>100</v>
      </c>
      <c r="E5" t="s">
        <v>100</v>
      </c>
      <c r="F5">
        <v>8.5239999999999996E-2</v>
      </c>
      <c r="G5">
        <v>8.5010000000000002E-2</v>
      </c>
      <c r="H5">
        <v>3.3345099999999999</v>
      </c>
      <c r="I5">
        <v>141.28640999999999</v>
      </c>
    </row>
    <row r="6" spans="1:10" x14ac:dyDescent="0.3">
      <c r="A6" t="s">
        <v>77</v>
      </c>
      <c r="B6">
        <v>0.10798000000000001</v>
      </c>
      <c r="C6">
        <v>0.10562000000000001</v>
      </c>
      <c r="D6" t="s">
        <v>100</v>
      </c>
      <c r="E6" t="s">
        <v>100</v>
      </c>
      <c r="F6">
        <v>0.11124000000000001</v>
      </c>
      <c r="G6">
        <v>9.6100000000000005E-2</v>
      </c>
      <c r="H6">
        <v>44.253740000000001</v>
      </c>
      <c r="I6">
        <v>14.891780000000001</v>
      </c>
    </row>
    <row r="7" spans="1:10" x14ac:dyDescent="0.3">
      <c r="A7" t="s">
        <v>99</v>
      </c>
      <c r="B7">
        <v>0.15487000000000001</v>
      </c>
      <c r="C7">
        <v>15.718209999999999</v>
      </c>
      <c r="D7">
        <v>0.12384000000000001</v>
      </c>
      <c r="E7" t="s">
        <v>98</v>
      </c>
      <c r="F7">
        <v>1.6096600000000001</v>
      </c>
      <c r="G7">
        <v>9.8947400000000005</v>
      </c>
      <c r="H7">
        <v>8.7677899999999998</v>
      </c>
      <c r="I7">
        <v>1.15463</v>
      </c>
    </row>
    <row r="8" spans="1:10" x14ac:dyDescent="0.3">
      <c r="A8" t="s">
        <v>78</v>
      </c>
      <c r="B8">
        <v>12.254300000000001</v>
      </c>
      <c r="C8">
        <v>10.45571</v>
      </c>
      <c r="D8" t="s">
        <v>100</v>
      </c>
      <c r="E8" t="s">
        <v>100</v>
      </c>
      <c r="F8">
        <v>11.96374</v>
      </c>
      <c r="G8">
        <v>14.19561</v>
      </c>
      <c r="H8">
        <v>38.870190000000001</v>
      </c>
      <c r="I8">
        <v>184.82299</v>
      </c>
    </row>
    <row r="9" spans="1:10" x14ac:dyDescent="0.3">
      <c r="A9" t="s">
        <v>97</v>
      </c>
      <c r="B9">
        <v>3.9620000000000002E-2</v>
      </c>
      <c r="C9">
        <v>13.47297</v>
      </c>
      <c r="D9">
        <v>0.11135</v>
      </c>
      <c r="E9" t="s">
        <v>98</v>
      </c>
      <c r="F9">
        <v>0.68664999999999998</v>
      </c>
      <c r="G9">
        <v>22.092700000000001</v>
      </c>
      <c r="H9">
        <v>1.1067</v>
      </c>
      <c r="I9">
        <v>52.466909999999999</v>
      </c>
    </row>
    <row r="10" spans="1:10" x14ac:dyDescent="0.3">
      <c r="A10" t="s">
        <v>79</v>
      </c>
      <c r="B10">
        <v>254.94499999999999</v>
      </c>
      <c r="C10">
        <v>113.92201</v>
      </c>
      <c r="D10" t="s">
        <v>100</v>
      </c>
      <c r="E10" t="s">
        <v>100</v>
      </c>
      <c r="F10" t="s">
        <v>98</v>
      </c>
      <c r="G10">
        <v>211.71526</v>
      </c>
      <c r="H10">
        <v>8.4285099999999993</v>
      </c>
      <c r="I10">
        <v>84.473269999999999</v>
      </c>
    </row>
    <row r="11" spans="1:10" x14ac:dyDescent="0.3">
      <c r="A11" t="s">
        <v>80</v>
      </c>
      <c r="B11">
        <v>20.097719999999999</v>
      </c>
      <c r="C11">
        <v>128.60133999999999</v>
      </c>
      <c r="D11" t="s">
        <v>100</v>
      </c>
      <c r="E11" t="s">
        <v>100</v>
      </c>
      <c r="F11">
        <v>39.049059999999997</v>
      </c>
      <c r="G11">
        <v>35.021430000000002</v>
      </c>
      <c r="H11">
        <v>42.108460000000001</v>
      </c>
      <c r="I11">
        <v>147.65940000000001</v>
      </c>
    </row>
    <row r="12" spans="1:10" x14ac:dyDescent="0.3">
      <c r="A12" t="s">
        <v>82</v>
      </c>
      <c r="B12">
        <v>0.16353000000000001</v>
      </c>
      <c r="C12">
        <v>0.34392</v>
      </c>
      <c r="D12" t="s">
        <v>100</v>
      </c>
      <c r="E12" t="s">
        <v>100</v>
      </c>
      <c r="F12">
        <v>0.30607000000000001</v>
      </c>
      <c r="G12">
        <v>0.20951</v>
      </c>
      <c r="H12">
        <v>84.27252</v>
      </c>
      <c r="I12">
        <v>143.15234000000001</v>
      </c>
    </row>
    <row r="13" spans="1:10" x14ac:dyDescent="0.3">
      <c r="A13" t="s">
        <v>83</v>
      </c>
      <c r="B13">
        <v>0.55898000000000003</v>
      </c>
      <c r="C13">
        <v>72.292180000000002</v>
      </c>
      <c r="D13" t="s">
        <v>100</v>
      </c>
      <c r="E13" t="s">
        <v>100</v>
      </c>
      <c r="F13" t="s">
        <v>98</v>
      </c>
      <c r="G13" t="s">
        <v>98</v>
      </c>
      <c r="H13">
        <v>86.414410000000004</v>
      </c>
      <c r="I13">
        <v>13.72208</v>
      </c>
    </row>
    <row r="14" spans="1:10" x14ac:dyDescent="0.3">
      <c r="A14" t="s">
        <v>84</v>
      </c>
      <c r="B14">
        <v>182.82697999999999</v>
      </c>
      <c r="C14">
        <v>215.75032999999999</v>
      </c>
      <c r="D14" t="s">
        <v>100</v>
      </c>
      <c r="E14" t="s">
        <v>100</v>
      </c>
      <c r="F14">
        <v>91.688649999999996</v>
      </c>
      <c r="G14">
        <v>172.45528999999999</v>
      </c>
      <c r="H14">
        <v>140.67553000000001</v>
      </c>
      <c r="I14">
        <v>169.86491000000001</v>
      </c>
    </row>
    <row r="15" spans="1:10" x14ac:dyDescent="0.3">
      <c r="A15" t="s">
        <v>85</v>
      </c>
      <c r="B15">
        <v>3.2552099999999999</v>
      </c>
      <c r="C15">
        <v>15.398849999999999</v>
      </c>
      <c r="D15" t="s">
        <v>100</v>
      </c>
      <c r="E15" t="s">
        <v>100</v>
      </c>
      <c r="F15">
        <v>16.259820000000001</v>
      </c>
      <c r="G15">
        <v>8.6792700000000007</v>
      </c>
      <c r="H15">
        <v>140.57532</v>
      </c>
      <c r="I15">
        <v>86.673590000000004</v>
      </c>
    </row>
    <row r="16" spans="1:10" x14ac:dyDescent="0.3">
      <c r="A16" t="s">
        <v>86</v>
      </c>
      <c r="B16">
        <v>279.49383999999998</v>
      </c>
      <c r="C16">
        <v>194.49345</v>
      </c>
      <c r="D16" t="s">
        <v>100</v>
      </c>
      <c r="E16" t="s">
        <v>100</v>
      </c>
      <c r="F16">
        <v>256.64737000000002</v>
      </c>
      <c r="G16">
        <v>143.88419999999999</v>
      </c>
      <c r="H16">
        <v>189.11257000000001</v>
      </c>
      <c r="I16">
        <v>0.22155</v>
      </c>
    </row>
    <row r="17" spans="1:9" x14ac:dyDescent="0.3">
      <c r="A17" t="s">
        <v>87</v>
      </c>
      <c r="B17">
        <v>0.21318999999999999</v>
      </c>
      <c r="C17">
        <v>0.60407</v>
      </c>
      <c r="D17" t="s">
        <v>100</v>
      </c>
      <c r="E17" t="s">
        <v>100</v>
      </c>
      <c r="F17">
        <v>0.35782000000000003</v>
      </c>
      <c r="G17">
        <v>0.25975999999999999</v>
      </c>
      <c r="H17">
        <v>201.03898000000001</v>
      </c>
      <c r="I17">
        <v>0.60128999999999999</v>
      </c>
    </row>
  </sheetData>
  <sortState xmlns:xlrd2="http://schemas.microsoft.com/office/spreadsheetml/2017/richdata2" ref="A2:I17">
    <sortCondition ref="A1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Wuhan</vt:lpstr>
      <vt:lpstr>Omicron BA1</vt:lpstr>
      <vt:lpstr>Omicron BA4+5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SparkUser</dc:creator>
  <cp:lastModifiedBy>Pham, Le Thanh Mai</cp:lastModifiedBy>
  <dcterms:created xsi:type="dcterms:W3CDTF">2023-02-09T21:50:31Z</dcterms:created>
  <dcterms:modified xsi:type="dcterms:W3CDTF">2023-02-10T05:42:31Z</dcterms:modified>
</cp:coreProperties>
</file>