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bl-my.sharepoint.com/personal/thanhmaipl_lbl_gov/Documents/Antibody - Brooke/LDRD_predictive pathogen/"/>
    </mc:Choice>
  </mc:AlternateContent>
  <xr:revisionPtr revIDLastSave="0" documentId="8_{9E0DEE9A-D81F-4EC8-B04A-8D2152CA928D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Wuhan" sheetId="1" r:id="rId1"/>
    <sheet name="Omicron BA1" sheetId="2" r:id="rId2"/>
    <sheet name="Omicron BA4+5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5" i="1" l="1"/>
  <c r="A46" i="1" s="1"/>
  <c r="A47" i="1" s="1"/>
  <c r="A48" i="1" s="1"/>
  <c r="A49" i="1" s="1"/>
  <c r="A50" i="1" s="1"/>
  <c r="A51" i="1" s="1"/>
  <c r="A36" i="1"/>
  <c r="A37" i="1" s="1"/>
  <c r="A38" i="1" s="1"/>
  <c r="A39" i="1" s="1"/>
  <c r="A40" i="1" s="1"/>
  <c r="A41" i="1" s="1"/>
  <c r="A42" i="1" s="1"/>
  <c r="A45" i="2"/>
  <c r="A46" i="2" s="1"/>
  <c r="A47" i="2" s="1"/>
  <c r="A48" i="2" s="1"/>
  <c r="A49" i="2" s="1"/>
  <c r="A50" i="2" s="1"/>
  <c r="A51" i="2" s="1"/>
  <c r="A37" i="2"/>
  <c r="A38" i="2" s="1"/>
  <c r="A39" i="2" s="1"/>
  <c r="A40" i="2" s="1"/>
  <c r="A41" i="2" s="1"/>
  <c r="A42" i="2" s="1"/>
  <c r="A36" i="2"/>
  <c r="A45" i="3"/>
  <c r="A46" i="3" s="1"/>
  <c r="A47" i="3" s="1"/>
  <c r="A48" i="3" s="1"/>
  <c r="A49" i="3" s="1"/>
  <c r="A50" i="3" s="1"/>
  <c r="A51" i="3" s="1"/>
  <c r="A37" i="3"/>
  <c r="A38" i="3"/>
  <c r="A39" i="3"/>
  <c r="A40" i="3"/>
  <c r="A41" i="3"/>
  <c r="A42" i="3" s="1"/>
  <c r="A36" i="3"/>
</calcChain>
</file>

<file path=xl/sharedStrings.xml><?xml version="1.0" encoding="utf-8"?>
<sst xmlns="http://schemas.openxmlformats.org/spreadsheetml/2006/main" count="273" uniqueCount="89">
  <si>
    <t>Method name: 384 hIgG ELISA 450</t>
  </si>
  <si>
    <t/>
  </si>
  <si>
    <t>Application: SparkControl</t>
  </si>
  <si>
    <t>V3.1</t>
  </si>
  <si>
    <t>Device: Spark</t>
  </si>
  <si>
    <t>Serial number: 2008010223</t>
  </si>
  <si>
    <t>Firmware:</t>
  </si>
  <si>
    <t>LUM:V5.2.4|ABS:V4.3.2|ABS_MEX:V5.1.1|USBCAM:V4.90.34|MTP:V14.2.11|FLUOR:V5.1.4|FLUOR_FP:V5.0.2|FLUOR_BOTTOM:V5.0.2|FLUOR_MEM:V5.1.1|FLUOR_MEX:V5.1.1|FIM:V1.1.9|GCM:V3.0.2|INJ:V3.1.1|PODI:V1.11.2</t>
  </si>
  <si>
    <t>Date:</t>
  </si>
  <si>
    <t>2023-02-08</t>
  </si>
  <si>
    <t>Time:</t>
  </si>
  <si>
    <t>4:04 PM</t>
  </si>
  <si>
    <t>System</t>
  </si>
  <si>
    <t>SPARK2002</t>
  </si>
  <si>
    <t>User</t>
  </si>
  <si>
    <t>SPARK2002\SparkUser</t>
  </si>
  <si>
    <t>Plate</t>
  </si>
  <si>
    <t>[NUN384ft] - Thermo Fisher Scientific-Nunclon 384 Flat Transparent Cat. No.: 164688/164555/265196/242757/242765/262160/265202/265203/464718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</si>
  <si>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</si>
  <si>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</si>
  <si>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</si>
  <si>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</si>
  <si>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</si>
  <si>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</si>
  <si>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</si>
  <si>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Absorbance</t>
  </si>
  <si>
    <t>HIgG ELISA 384</t>
  </si>
  <si>
    <t>Name</t>
  </si>
  <si>
    <t>NUN384ft</t>
  </si>
  <si>
    <t>Plate layout</t>
  </si>
  <si>
    <t>Plate area</t>
  </si>
  <si>
    <t>A1-P24</t>
  </si>
  <si>
    <t>Mode</t>
  </si>
  <si>
    <t>Measurement wavelength [nm]</t>
  </si>
  <si>
    <t>Number of flashes</t>
  </si>
  <si>
    <t>Settle time [ms]</t>
  </si>
  <si>
    <t>Part of Plate</t>
  </si>
  <si>
    <t>Start Time</t>
  </si>
  <si>
    <t>2023-02-08 16:03:45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</si>
  <si>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</si>
  <si>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</si>
  <si>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</si>
  <si>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</si>
  <si>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</si>
  <si>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</si>
  <si>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</si>
  <si>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</si>
  <si>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</si>
  <si>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</si>
  <si>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</si>
  <si>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</si>
  <si>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</si>
  <si>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</si>
  <si>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</si>
  <si>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</si>
  <si>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</si>
  <si>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</si>
  <si>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</si>
  <si>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</si>
  <si>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</si>
  <si>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</si>
  <si>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</si>
  <si>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</si>
  <si>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</si>
  <si>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</si>
  <si>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End Time</t>
  </si>
  <si>
    <t>2023-02-08 16:04:49</t>
  </si>
  <si>
    <t>2023-02-08 16:07:40</t>
  </si>
  <si>
    <t>2023-02-08 16:06:35</t>
  </si>
  <si>
    <t>4:07 PM</t>
  </si>
  <si>
    <t>2023-02-08 16:09:36</t>
  </si>
  <si>
    <t>2023-02-08 16:08:32</t>
  </si>
  <si>
    <t>4:09 PM</t>
  </si>
  <si>
    <t>AP1C3</t>
  </si>
  <si>
    <t>AP1A5</t>
  </si>
  <si>
    <t>AP1B6</t>
  </si>
  <si>
    <t>AP1D4</t>
  </si>
  <si>
    <t>BP1A10</t>
  </si>
  <si>
    <t>BP1B1</t>
  </si>
  <si>
    <t>BP2A3</t>
  </si>
  <si>
    <t>BP2A6</t>
  </si>
  <si>
    <t>BP2H9</t>
  </si>
  <si>
    <t>DP4F2</t>
  </si>
  <si>
    <t>KP1B5</t>
  </si>
  <si>
    <t>KP1C9</t>
  </si>
  <si>
    <t>KP2C6</t>
  </si>
  <si>
    <t>EP2G4</t>
  </si>
  <si>
    <t>KP1G11</t>
  </si>
  <si>
    <t>huACE2-Fc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</si>
</sst>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  <font>
      <sz val="11"/>
      <name val="Calibri"/>
      <family val="2"/>
    </font>
    <font>
      <sz val="12"/>
      <color rgb="FFFFFFFF"/>
      <name val="Calibri"/>
      <family val="2"/>
    </font>
    <font>
      <b/>
      <sz val="2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42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0" borderId="0" xfId="0" applyFont="1"/>
    <xf numFmtId="0" fontId="4" fillId="3" borderId="1" xfId="1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2" fontId="6" fillId="8" borderId="3" xfId="0" applyNumberFormat="1" applyFont="1" applyFill="1" applyBorder="1" applyAlignment="1">
      <alignment horizontal="center"/>
    </xf>
    <xf numFmtId="2" fontId="6" fillId="8" borderId="4" xfId="0" applyNumberFormat="1" applyFont="1" applyFill="1" applyBorder="1" applyAlignment="1">
      <alignment horizontal="center"/>
    </xf>
    <xf numFmtId="2" fontId="6" fillId="8" borderId="5" xfId="0" applyNumberFormat="1" applyFont="1" applyFill="1" applyBorder="1" applyAlignment="1">
      <alignment horizontal="center"/>
    </xf>
    <xf numFmtId="0" fontId="6" fillId="15" borderId="3" xfId="0" applyFont="1" applyFill="1" applyBorder="1" applyAlignment="1">
      <alignment horizontal="center"/>
    </xf>
    <xf numFmtId="0" fontId="6" fillId="15" borderId="4" xfId="0" applyFont="1" applyFill="1" applyBorder="1" applyAlignment="1">
      <alignment horizontal="center"/>
    </xf>
    <xf numFmtId="0" fontId="6" fillId="15" borderId="5" xfId="0" applyFont="1" applyFill="1" applyBorder="1" applyAlignment="1">
      <alignment horizontal="center"/>
    </xf>
    <xf numFmtId="2" fontId="6" fillId="12" borderId="2" xfId="0" applyNumberFormat="1" applyFont="1" applyFill="1" applyBorder="1" applyAlignment="1">
      <alignment horizontal="center"/>
    </xf>
    <xf numFmtId="2" fontId="6" fillId="13" borderId="3" xfId="0" applyNumberFormat="1" applyFont="1" applyFill="1" applyBorder="1" applyAlignment="1">
      <alignment horizontal="center"/>
    </xf>
    <xf numFmtId="2" fontId="6" fillId="13" borderId="4" xfId="0" applyNumberFormat="1" applyFont="1" applyFill="1" applyBorder="1" applyAlignment="1">
      <alignment horizontal="center"/>
    </xf>
    <xf numFmtId="2" fontId="6" fillId="13" borderId="5" xfId="0" applyNumberFormat="1" applyFont="1" applyFill="1" applyBorder="1" applyAlignment="1">
      <alignment horizontal="center"/>
    </xf>
    <xf numFmtId="2" fontId="6" fillId="7" borderId="3" xfId="0" applyNumberFormat="1" applyFont="1" applyFill="1" applyBorder="1" applyAlignment="1">
      <alignment horizontal="center"/>
    </xf>
    <xf numFmtId="2" fontId="6" fillId="7" borderId="4" xfId="0" applyNumberFormat="1" applyFont="1" applyFill="1" applyBorder="1" applyAlignment="1">
      <alignment horizontal="center"/>
    </xf>
    <xf numFmtId="2" fontId="6" fillId="7" borderId="5" xfId="0" applyNumberFormat="1" applyFont="1" applyFill="1" applyBorder="1" applyAlignment="1">
      <alignment horizontal="center"/>
    </xf>
    <xf numFmtId="2" fontId="6" fillId="10" borderId="3" xfId="0" applyNumberFormat="1" applyFont="1" applyFill="1" applyBorder="1" applyAlignment="1">
      <alignment horizontal="center"/>
    </xf>
    <xf numFmtId="2" fontId="6" fillId="10" borderId="4" xfId="0" applyNumberFormat="1" applyFont="1" applyFill="1" applyBorder="1" applyAlignment="1">
      <alignment horizontal="center"/>
    </xf>
    <xf numFmtId="2" fontId="6" fillId="10" borderId="5" xfId="0" applyNumberFormat="1" applyFont="1" applyFill="1" applyBorder="1" applyAlignment="1">
      <alignment horizontal="center"/>
    </xf>
    <xf numFmtId="2" fontId="6" fillId="14" borderId="3" xfId="0" applyNumberFormat="1" applyFont="1" applyFill="1" applyBorder="1" applyAlignment="1">
      <alignment horizontal="center"/>
    </xf>
    <xf numFmtId="2" fontId="6" fillId="14" borderId="4" xfId="0" applyNumberFormat="1" applyFont="1" applyFill="1" applyBorder="1" applyAlignment="1">
      <alignment horizontal="center"/>
    </xf>
    <xf numFmtId="2" fontId="6" fillId="14" borderId="5" xfId="0" applyNumberFormat="1" applyFont="1" applyFill="1" applyBorder="1" applyAlignment="1">
      <alignment horizontal="center"/>
    </xf>
    <xf numFmtId="2" fontId="5" fillId="10" borderId="3" xfId="0" applyNumberFormat="1" applyFont="1" applyFill="1" applyBorder="1" applyAlignment="1">
      <alignment horizontal="center"/>
    </xf>
    <xf numFmtId="2" fontId="5" fillId="10" borderId="4" xfId="0" applyNumberFormat="1" applyFont="1" applyFill="1" applyBorder="1" applyAlignment="1">
      <alignment horizontal="center"/>
    </xf>
    <xf numFmtId="2" fontId="5" fillId="10" borderId="5" xfId="0" applyNumberFormat="1" applyFont="1" applyFill="1" applyBorder="1" applyAlignment="1">
      <alignment horizontal="center"/>
    </xf>
    <xf numFmtId="2" fontId="5" fillId="11" borderId="3" xfId="0" applyNumberFormat="1" applyFont="1" applyFill="1" applyBorder="1" applyAlignment="1">
      <alignment horizontal="center"/>
    </xf>
    <xf numFmtId="2" fontId="5" fillId="11" borderId="4" xfId="0" applyNumberFormat="1" applyFont="1" applyFill="1" applyBorder="1" applyAlignment="1">
      <alignment horizontal="center"/>
    </xf>
    <xf numFmtId="2" fontId="5" fillId="11" borderId="5" xfId="0" applyNumberFormat="1" applyFont="1" applyFill="1" applyBorder="1" applyAlignment="1">
      <alignment horizontal="center"/>
    </xf>
    <xf numFmtId="2" fontId="5" fillId="4" borderId="2" xfId="0" applyNumberFormat="1" applyFont="1" applyFill="1" applyBorder="1" applyAlignment="1">
      <alignment horizontal="center"/>
    </xf>
    <xf numFmtId="2" fontId="5" fillId="5" borderId="2" xfId="0" applyNumberFormat="1" applyFont="1" applyFill="1" applyBorder="1" applyAlignment="1">
      <alignment horizontal="center"/>
    </xf>
    <xf numFmtId="2" fontId="5" fillId="6" borderId="2" xfId="0" applyNumberFormat="1" applyFont="1" applyFill="1" applyBorder="1" applyAlignment="1">
      <alignment horizontal="center"/>
    </xf>
    <xf numFmtId="2" fontId="5" fillId="7" borderId="2" xfId="0" applyNumberFormat="1" applyFont="1" applyFill="1" applyBorder="1" applyAlignment="1">
      <alignment horizontal="center"/>
    </xf>
    <xf numFmtId="2" fontId="5" fillId="8" borderId="3" xfId="0" applyNumberFormat="1" applyFont="1" applyFill="1" applyBorder="1" applyAlignment="1">
      <alignment horizontal="center"/>
    </xf>
    <xf numFmtId="2" fontId="5" fillId="8" borderId="4" xfId="0" applyNumberFormat="1" applyFont="1" applyFill="1" applyBorder="1" applyAlignment="1">
      <alignment horizontal="center"/>
    </xf>
    <xf numFmtId="2" fontId="5" fillId="8" borderId="5" xfId="0" applyNumberFormat="1" applyFont="1" applyFill="1" applyBorder="1" applyAlignment="1">
      <alignment horizontal="center"/>
    </xf>
    <xf numFmtId="2" fontId="5" fillId="9" borderId="3" xfId="0" applyNumberFormat="1" applyFont="1" applyFill="1" applyBorder="1" applyAlignment="1">
      <alignment horizontal="center"/>
    </xf>
    <xf numFmtId="2" fontId="5" fillId="9" borderId="4" xfId="0" applyNumberFormat="1" applyFont="1" applyFill="1" applyBorder="1" applyAlignment="1">
      <alignment horizontal="center"/>
    </xf>
    <xf numFmtId="2" fontId="5" fillId="9" borderId="5" xfId="0" applyNumberFormat="1" applyFont="1" applyFill="1" applyBorder="1" applyAlignment="1">
      <alignment horizontal="center"/>
    </xf>
  </cellXfs>
  <cellStyles count="2">
    <cellStyle name="Normal" xfId="0" builtinId="0"/>
    <cellStyle name="Normal 2" xfId="1" xr:uid="{3C9DA633-D95C-4121-B32F-27A79E4EED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6"/>
  <sheetViews>
    <sheetView topLeftCell="A20" zoomScale="70" zoomScaleNormal="70" workbookViewId="0">
      <selection activeCell="A44" sqref="A44:A51"/>
    </sheetView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 t="s">
        <v>27</v>
      </c>
      <c r="B19" s="1"/>
      <c r="C19" s="1"/>
      <c r="D19" s="1"/>
      <c r="E19" s="1" t="s">
        <v>28</v>
      </c>
      <c r="F19" s="1"/>
      <c r="G19" s="1"/>
      <c r="H19" s="1"/>
      <c r="I19" s="1"/>
      <c r="J19" s="1"/>
      <c r="K19" s="1"/>
    </row>
    <row r="20" spans="1:11" x14ac:dyDescent="0.3">
      <c r="A20" s="1" t="s">
        <v>29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 t="s">
        <v>31</v>
      </c>
      <c r="F21" s="1"/>
      <c r="G21" s="1"/>
      <c r="H21" s="1"/>
      <c r="I21" s="1"/>
      <c r="J21" s="1"/>
      <c r="K21" s="1"/>
    </row>
    <row r="22" spans="1:1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3">
      <c r="A23" s="1" t="s">
        <v>32</v>
      </c>
      <c r="B23" s="1" t="s">
        <v>25</v>
      </c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27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3">
      <c r="A25" s="1" t="s">
        <v>33</v>
      </c>
      <c r="B25" s="1"/>
      <c r="C25" s="1"/>
      <c r="D25" s="1"/>
      <c r="E25" s="1">
        <v>450</v>
      </c>
      <c r="F25" s="1"/>
      <c r="G25" s="1"/>
      <c r="H25" s="1"/>
      <c r="I25" s="1"/>
      <c r="J25" s="1"/>
      <c r="K25" s="1"/>
    </row>
    <row r="26" spans="1:11" x14ac:dyDescent="0.3">
      <c r="A26" s="1" t="s">
        <v>34</v>
      </c>
      <c r="B26" s="1"/>
      <c r="C26" s="1"/>
      <c r="D26" s="1"/>
      <c r="E26" s="1">
        <v>20</v>
      </c>
      <c r="F26" s="1"/>
      <c r="G26" s="1"/>
      <c r="H26" s="1"/>
      <c r="I26" s="1"/>
      <c r="J26" s="1"/>
      <c r="K26" s="1"/>
    </row>
    <row r="27" spans="1:11" x14ac:dyDescent="0.3">
      <c r="A27" s="1" t="s">
        <v>35</v>
      </c>
      <c r="B27" s="1"/>
      <c r="C27" s="1"/>
      <c r="D27" s="1"/>
      <c r="E27" s="1">
        <v>0</v>
      </c>
      <c r="F27" s="1"/>
      <c r="G27" s="1"/>
      <c r="H27" s="1"/>
      <c r="I27" s="1"/>
      <c r="J27" s="1"/>
      <c r="K27" s="1"/>
    </row>
    <row r="28" spans="1:11" x14ac:dyDescent="0.3">
      <c r="A28" s="1" t="s">
        <v>36</v>
      </c>
      <c r="B28" s="1"/>
      <c r="C28" s="1"/>
      <c r="D28" s="1"/>
      <c r="E28" s="1" t="s">
        <v>31</v>
      </c>
      <c r="F28" s="1"/>
      <c r="G28" s="1"/>
      <c r="H28" s="1"/>
      <c r="I28" s="1"/>
      <c r="J28" s="1"/>
      <c r="K28" s="1"/>
    </row>
    <row r="29" spans="1:1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3">
      <c r="A30" s="1" t="s">
        <v>37</v>
      </c>
      <c r="B30" s="1"/>
      <c r="C30" s="1"/>
      <c r="D30" s="1"/>
      <c r="E30" s="1" t="s">
        <v>38</v>
      </c>
      <c r="F30" s="1"/>
      <c r="G30" s="1"/>
      <c r="H30" s="1"/>
      <c r="I30" s="1"/>
      <c r="J30" s="1"/>
      <c r="K30" s="1"/>
    </row>
    <row r="31" spans="1:11" x14ac:dyDescent="0.3">
      <c r="A31" s="1" t="s">
        <v>39</v>
      </c>
      <c r="B31" s="1"/>
      <c r="C31" s="1"/>
      <c r="D31" s="1"/>
      <c r="E31" s="1">
        <v>24.1</v>
      </c>
      <c r="F31" s="1"/>
      <c r="G31" s="1"/>
      <c r="H31" s="1"/>
      <c r="I31" s="1"/>
      <c r="J31" s="1"/>
      <c r="K31" s="1"/>
    </row>
    <row r="32" spans="1:1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25" ht="15" thickBot="1" x14ac:dyDescent="0.35">
      <c r="A33" s="3" t="s">
        <v>40</v>
      </c>
      <c r="B33" s="3" t="s">
        <v>41</v>
      </c>
      <c r="C33" s="3" t="s">
        <v>42</v>
      </c>
      <c r="D33" s="3" t="s">
        <v>43</v>
      </c>
      <c r="E33" s="3" t="s">
        <v>44</v>
      </c>
      <c r="F33" s="3" t="s">
        <v>45</v>
      </c>
      <c r="G33" s="3" t="s">
        <v>46</v>
      </c>
      <c r="H33" s="3" t="s">
        <v>47</v>
      </c>
      <c r="I33" s="3" t="s">
        <v>48</v>
      </c>
      <c r="J33" s="3" t="s">
        <v>49</v>
      </c>
      <c r="K33" s="3" t="s">
        <v>50</v>
      </c>
      <c r="L33" s="3" t="s">
        <v>51</v>
      </c>
      <c r="M33" s="3" t="s">
        <v>52</v>
      </c>
      <c r="N33" s="3" t="s">
        <v>53</v>
      </c>
      <c r="O33" s="3" t="s">
        <v>54</v>
      </c>
      <c r="P33" s="3" t="s">
        <v>55</v>
      </c>
      <c r="Q33" s="3" t="s">
        <v>56</v>
      </c>
      <c r="R33" s="3" t="s">
        <v>57</v>
      </c>
      <c r="S33" s="3" t="s">
        <v>58</v>
      </c>
      <c r="T33" s="3" t="s">
        <v>59</v>
      </c>
      <c r="U33" s="3" t="s">
        <v>60</v>
      </c>
      <c r="V33" s="3" t="s">
        <v>61</v>
      </c>
      <c r="W33" s="3" t="s">
        <v>62</v>
      </c>
      <c r="X33" s="3" t="s">
        <v>63</v>
      </c>
      <c r="Y33" s="3" t="s">
        <v>64</v>
      </c>
    </row>
    <row r="34" spans="1:25" ht="28.8" x14ac:dyDescent="0.55000000000000004">
      <c r="A34" s="5" t="s">
        <v>40</v>
      </c>
      <c r="B34" s="32" t="s">
        <v>73</v>
      </c>
      <c r="C34" s="32"/>
      <c r="D34" s="32"/>
      <c r="E34" s="33" t="s">
        <v>74</v>
      </c>
      <c r="F34" s="33"/>
      <c r="G34" s="33"/>
      <c r="H34" s="34" t="s">
        <v>75</v>
      </c>
      <c r="I34" s="34"/>
      <c r="J34" s="34"/>
      <c r="K34" s="35" t="s">
        <v>76</v>
      </c>
      <c r="L34" s="35"/>
      <c r="M34" s="35"/>
      <c r="N34" s="36" t="s">
        <v>77</v>
      </c>
      <c r="O34" s="37"/>
      <c r="P34" s="38"/>
      <c r="Q34" s="39" t="s">
        <v>78</v>
      </c>
      <c r="R34" s="40"/>
      <c r="S34" s="41"/>
      <c r="T34" s="26" t="s">
        <v>79</v>
      </c>
      <c r="U34" s="27"/>
      <c r="V34" s="28"/>
      <c r="W34" s="29" t="s">
        <v>80</v>
      </c>
      <c r="X34" s="30"/>
      <c r="Y34" s="31"/>
    </row>
    <row r="35" spans="1:25" x14ac:dyDescent="0.3">
      <c r="A35" s="3">
        <v>10</v>
      </c>
      <c r="B35" s="1">
        <v>2.6964999999999999</v>
      </c>
      <c r="C35" s="1">
        <v>3.0604</v>
      </c>
      <c r="D35" s="1">
        <v>2.7559999999999998</v>
      </c>
      <c r="E35" s="1">
        <v>1.6924999999999999</v>
      </c>
      <c r="F35" s="1">
        <v>1.5138</v>
      </c>
      <c r="G35" s="1">
        <v>2.7797000000000001</v>
      </c>
      <c r="H35" s="1">
        <v>1.7615000000000001</v>
      </c>
      <c r="I35" s="1">
        <v>2.4624000000000001</v>
      </c>
      <c r="J35" s="1">
        <v>1.7764</v>
      </c>
      <c r="K35" s="1">
        <v>1.5978000000000001</v>
      </c>
      <c r="L35" s="1">
        <v>1.49</v>
      </c>
      <c r="M35" s="1">
        <v>1.0865</v>
      </c>
      <c r="N35" s="1">
        <v>3.3491</v>
      </c>
      <c r="O35" s="1">
        <v>3.3197000000000001</v>
      </c>
      <c r="P35" s="1">
        <v>3.2404999999999999</v>
      </c>
      <c r="Q35" s="1">
        <v>3.0827</v>
      </c>
      <c r="R35" s="1">
        <v>2.9516</v>
      </c>
      <c r="S35" s="1">
        <v>3.1172</v>
      </c>
      <c r="T35" s="1">
        <v>2.512</v>
      </c>
      <c r="U35" s="1">
        <v>2.7281</v>
      </c>
      <c r="V35" s="1">
        <v>2.3803000000000001</v>
      </c>
      <c r="W35" s="1">
        <v>3.2406999999999999</v>
      </c>
      <c r="X35" s="1">
        <v>3.2637999999999998</v>
      </c>
      <c r="Y35" s="1">
        <v>3.3043999999999998</v>
      </c>
    </row>
    <row r="36" spans="1:25" x14ac:dyDescent="0.3">
      <c r="A36" s="3">
        <f>A35/3</f>
        <v>3.3333333333333335</v>
      </c>
      <c r="B36" s="1">
        <v>2.7989999999999999</v>
      </c>
      <c r="C36" s="1">
        <v>3.1227999999999998</v>
      </c>
      <c r="D36" s="1">
        <v>3.1701999999999999</v>
      </c>
      <c r="E36" s="1">
        <v>2.5356999999999998</v>
      </c>
      <c r="F36" s="1">
        <v>1.3242</v>
      </c>
      <c r="G36" s="1">
        <v>1.9</v>
      </c>
      <c r="H36" s="1">
        <v>1.9496</v>
      </c>
      <c r="I36" s="1">
        <v>2.6713</v>
      </c>
      <c r="J36" s="1">
        <v>1.9215</v>
      </c>
      <c r="K36" s="1">
        <v>1.7079</v>
      </c>
      <c r="L36" s="1">
        <v>1.3505</v>
      </c>
      <c r="M36" s="1">
        <v>1.5536000000000001</v>
      </c>
      <c r="N36" s="1">
        <v>3.3357000000000001</v>
      </c>
      <c r="O36" s="1">
        <v>3.2366999999999999</v>
      </c>
      <c r="P36" s="1">
        <v>3.3651</v>
      </c>
      <c r="Q36" s="1">
        <v>3.3083999999999998</v>
      </c>
      <c r="R36" s="1">
        <v>3.3071000000000002</v>
      </c>
      <c r="S36" s="1">
        <v>3.2738999999999998</v>
      </c>
      <c r="T36" s="1">
        <v>2.6728999999999998</v>
      </c>
      <c r="U36" s="1">
        <v>2.903</v>
      </c>
      <c r="V36" s="1">
        <v>3.0084</v>
      </c>
      <c r="W36" s="1">
        <v>3.3001999999999998</v>
      </c>
      <c r="X36" s="1">
        <v>3.2530999999999999</v>
      </c>
      <c r="Y36" s="1">
        <v>3.2843</v>
      </c>
    </row>
    <row r="37" spans="1:25" x14ac:dyDescent="0.3">
      <c r="A37" s="3">
        <f t="shared" ref="A37:A42" si="0">A36/3</f>
        <v>1.1111111111111112</v>
      </c>
      <c r="B37" s="1">
        <v>2.9518</v>
      </c>
      <c r="C37" s="1">
        <v>3.1311</v>
      </c>
      <c r="D37" s="1">
        <v>2.9367999999999999</v>
      </c>
      <c r="E37" s="1">
        <v>1.9202999999999999</v>
      </c>
      <c r="F37" s="1">
        <v>0.77470000000000006</v>
      </c>
      <c r="G37" s="1">
        <v>1.2863</v>
      </c>
      <c r="H37" s="1">
        <v>1.8113999999999999</v>
      </c>
      <c r="I37" s="1">
        <v>2.2065999999999999</v>
      </c>
      <c r="J37" s="1">
        <v>1.8968</v>
      </c>
      <c r="K37" s="1">
        <v>1.1504000000000001</v>
      </c>
      <c r="L37" s="1">
        <v>1.1104000000000001</v>
      </c>
      <c r="M37" s="1">
        <v>1.3888</v>
      </c>
      <c r="N37" s="1">
        <v>3.1293000000000002</v>
      </c>
      <c r="O37" s="1">
        <v>3.202</v>
      </c>
      <c r="P37" s="1">
        <v>3.1907999999999999</v>
      </c>
      <c r="Q37" s="1">
        <v>3.008</v>
      </c>
      <c r="R37" s="1">
        <v>3.0964999999999998</v>
      </c>
      <c r="S37" s="1">
        <v>3.032</v>
      </c>
      <c r="T37" s="1">
        <v>2.3799000000000001</v>
      </c>
      <c r="U37" s="1">
        <v>2.4207000000000001</v>
      </c>
      <c r="V37" s="1">
        <v>2.7035</v>
      </c>
      <c r="W37" s="1">
        <v>3.3079999999999998</v>
      </c>
      <c r="X37" s="1">
        <v>3.3203</v>
      </c>
      <c r="Y37" s="1">
        <v>3.2595999999999998</v>
      </c>
    </row>
    <row r="38" spans="1:25" x14ac:dyDescent="0.3">
      <c r="A38" s="3">
        <f t="shared" si="0"/>
        <v>0.37037037037037041</v>
      </c>
      <c r="B38" s="1">
        <v>2.8136999999999999</v>
      </c>
      <c r="C38" s="1">
        <v>3.093</v>
      </c>
      <c r="D38" s="1">
        <v>2.9533999999999998</v>
      </c>
      <c r="E38" s="1">
        <v>1.224</v>
      </c>
      <c r="F38" s="1">
        <v>0.69199999999999995</v>
      </c>
      <c r="G38" s="1">
        <v>1.1216999999999999</v>
      </c>
      <c r="H38" s="1">
        <v>1.5653999999999999</v>
      </c>
      <c r="I38" s="1">
        <v>1.8255999999999999</v>
      </c>
      <c r="J38" s="1">
        <v>1.0210999999999999</v>
      </c>
      <c r="K38" s="1">
        <v>0.97040000000000004</v>
      </c>
      <c r="L38" s="1">
        <v>0.89370000000000005</v>
      </c>
      <c r="M38" s="1">
        <v>1.1802999999999999</v>
      </c>
      <c r="N38" s="1">
        <v>2.5442</v>
      </c>
      <c r="O38" s="1">
        <v>2.9887000000000001</v>
      </c>
      <c r="P38" s="1">
        <v>2.9660000000000002</v>
      </c>
      <c r="Q38" s="1">
        <v>2.5548999999999999</v>
      </c>
      <c r="R38" s="1">
        <v>2.9485999999999999</v>
      </c>
      <c r="S38" s="1">
        <v>2.5857000000000001</v>
      </c>
      <c r="T38" s="1">
        <v>2.4460999999999999</v>
      </c>
      <c r="U38" s="1">
        <v>2.2795000000000001</v>
      </c>
      <c r="V38" s="1">
        <v>2.7134</v>
      </c>
      <c r="W38" s="1">
        <v>3.2393000000000001</v>
      </c>
      <c r="X38" s="1">
        <v>3.1999</v>
      </c>
      <c r="Y38" s="1">
        <v>3.2824</v>
      </c>
    </row>
    <row r="39" spans="1:25" x14ac:dyDescent="0.3">
      <c r="A39" s="3">
        <f t="shared" si="0"/>
        <v>0.1234567901234568</v>
      </c>
      <c r="B39" s="1">
        <v>2.4801000000000002</v>
      </c>
      <c r="C39" s="1">
        <v>2.7551000000000001</v>
      </c>
      <c r="D39" s="1">
        <v>2.8229000000000002</v>
      </c>
      <c r="E39" s="1">
        <v>0.95620000000000005</v>
      </c>
      <c r="F39" s="1">
        <v>0.28199999999999997</v>
      </c>
      <c r="G39" s="1">
        <v>0.78310000000000002</v>
      </c>
      <c r="H39" s="1">
        <v>1.3601000000000001</v>
      </c>
      <c r="I39" s="1">
        <v>1.3612</v>
      </c>
      <c r="J39" s="1">
        <v>0.9637</v>
      </c>
      <c r="K39" s="1">
        <v>0.91120000000000001</v>
      </c>
      <c r="L39" s="1">
        <v>0.89390000000000003</v>
      </c>
      <c r="M39" s="1">
        <v>0.95730000000000004</v>
      </c>
      <c r="N39" s="1">
        <v>1.6619999999999999</v>
      </c>
      <c r="O39" s="1">
        <v>2.3717999999999999</v>
      </c>
      <c r="P39" s="1">
        <v>2.1833999999999998</v>
      </c>
      <c r="Q39" s="1">
        <v>2.0895000000000001</v>
      </c>
      <c r="R39" s="1">
        <v>2.1751999999999998</v>
      </c>
      <c r="S39" s="1">
        <v>2.1707000000000001</v>
      </c>
      <c r="T39" s="1">
        <v>1.8547</v>
      </c>
      <c r="U39" s="1">
        <v>1.6761999999999999</v>
      </c>
      <c r="V39" s="1">
        <v>2.0884999999999998</v>
      </c>
      <c r="W39" s="1">
        <v>2.9672999999999998</v>
      </c>
      <c r="X39" s="1">
        <v>3.0533000000000001</v>
      </c>
      <c r="Y39" s="1">
        <v>3.0278999999999998</v>
      </c>
    </row>
    <row r="40" spans="1:25" x14ac:dyDescent="0.3">
      <c r="A40" s="3">
        <f t="shared" si="0"/>
        <v>4.1152263374485597E-2</v>
      </c>
      <c r="B40" s="1">
        <v>2.6751</v>
      </c>
      <c r="C40" s="1">
        <v>3.0501999999999998</v>
      </c>
      <c r="D40" s="1">
        <v>2.5773000000000001</v>
      </c>
      <c r="E40" s="1">
        <v>0.44490000000000002</v>
      </c>
      <c r="F40" s="1">
        <v>0.32050000000000001</v>
      </c>
      <c r="G40" s="1">
        <v>0.46310000000000001</v>
      </c>
      <c r="H40" s="1">
        <v>0.37940000000000002</v>
      </c>
      <c r="I40" s="1">
        <v>0.82879999999999998</v>
      </c>
      <c r="J40" s="1">
        <v>0.36480000000000001</v>
      </c>
      <c r="K40" s="1">
        <v>0.63139999999999996</v>
      </c>
      <c r="L40" s="1">
        <v>0.53600000000000003</v>
      </c>
      <c r="M40" s="1">
        <v>0.77210000000000001</v>
      </c>
      <c r="N40" s="1">
        <v>0.94199999999999995</v>
      </c>
      <c r="O40" s="1">
        <v>1.0723</v>
      </c>
      <c r="P40" s="1">
        <v>1.1937</v>
      </c>
      <c r="Q40" s="1">
        <v>1.1868000000000001</v>
      </c>
      <c r="R40" s="1">
        <v>1.2005999999999999</v>
      </c>
      <c r="S40" s="1">
        <v>1.1554</v>
      </c>
      <c r="T40" s="1">
        <v>1.0838000000000001</v>
      </c>
      <c r="U40" s="1">
        <v>1.2862</v>
      </c>
      <c r="V40" s="1">
        <v>1.4287000000000001</v>
      </c>
      <c r="W40" s="1">
        <v>2.3445999999999998</v>
      </c>
      <c r="X40" s="1">
        <v>1.9863999999999999</v>
      </c>
      <c r="Y40" s="1">
        <v>2.0992999999999999</v>
      </c>
    </row>
    <row r="41" spans="1:25" x14ac:dyDescent="0.3">
      <c r="A41" s="3">
        <f t="shared" si="0"/>
        <v>1.3717421124828532E-2</v>
      </c>
      <c r="B41" s="1">
        <v>1.7309000000000001</v>
      </c>
      <c r="C41" s="1">
        <v>2.6413000000000002</v>
      </c>
      <c r="D41" s="1">
        <v>2.1402000000000001</v>
      </c>
      <c r="E41" s="1">
        <v>0.2797</v>
      </c>
      <c r="F41" s="1">
        <v>0.21329999999999999</v>
      </c>
      <c r="G41" s="1">
        <v>0.27250000000000002</v>
      </c>
      <c r="H41" s="1">
        <v>0.25840000000000002</v>
      </c>
      <c r="I41" s="1">
        <v>0.58489999999999998</v>
      </c>
      <c r="J41" s="1">
        <v>0.47749999999999998</v>
      </c>
      <c r="K41" s="1">
        <v>0.33460000000000001</v>
      </c>
      <c r="L41" s="1">
        <v>0.32719999999999999</v>
      </c>
      <c r="M41" s="1">
        <v>0.31</v>
      </c>
      <c r="N41" s="1">
        <v>0.50800000000000001</v>
      </c>
      <c r="O41" s="1">
        <v>0.73780000000000001</v>
      </c>
      <c r="P41" s="1">
        <v>0.7994</v>
      </c>
      <c r="Q41" s="1">
        <v>0.69730000000000003</v>
      </c>
      <c r="R41" s="1">
        <v>0.83809999999999996</v>
      </c>
      <c r="S41" s="1">
        <v>0.64990000000000003</v>
      </c>
      <c r="T41" s="1">
        <v>0.72889999999999999</v>
      </c>
      <c r="U41" s="1">
        <v>0.77039999999999997</v>
      </c>
      <c r="V41" s="1">
        <v>0.84450000000000003</v>
      </c>
      <c r="W41" s="1">
        <v>1.7707999999999999</v>
      </c>
      <c r="X41" s="1">
        <v>1.4266000000000001</v>
      </c>
      <c r="Y41" s="1">
        <v>1.0998000000000001</v>
      </c>
    </row>
    <row r="42" spans="1:25" x14ac:dyDescent="0.3">
      <c r="A42" s="3">
        <f t="shared" si="0"/>
        <v>4.5724737082761769E-3</v>
      </c>
      <c r="B42" s="1">
        <v>1.2958000000000001</v>
      </c>
      <c r="C42" s="1">
        <v>1.7283999999999999</v>
      </c>
      <c r="D42" s="1">
        <v>1.4031</v>
      </c>
      <c r="E42" s="1">
        <v>0.17960000000000001</v>
      </c>
      <c r="F42" s="1">
        <v>0.1275</v>
      </c>
      <c r="G42" s="1">
        <v>0.1608</v>
      </c>
      <c r="H42" s="1">
        <v>0.15529999999999999</v>
      </c>
      <c r="I42" s="1">
        <v>0.28520000000000001</v>
      </c>
      <c r="J42" s="1">
        <v>0.19980000000000001</v>
      </c>
      <c r="K42" s="1">
        <v>0.1239</v>
      </c>
      <c r="L42" s="1">
        <v>0.1729</v>
      </c>
      <c r="M42" s="1">
        <v>0.2</v>
      </c>
      <c r="N42" s="1">
        <v>0.2606</v>
      </c>
      <c r="O42" s="1">
        <v>0.26529999999999998</v>
      </c>
      <c r="P42" s="1">
        <v>0.37030000000000002</v>
      </c>
      <c r="Q42" s="1">
        <v>0.35120000000000001</v>
      </c>
      <c r="R42" s="1">
        <v>0.31580000000000003</v>
      </c>
      <c r="S42" s="1">
        <v>0.22489999999999999</v>
      </c>
      <c r="T42" s="1">
        <v>0.30719999999999997</v>
      </c>
      <c r="U42" s="1">
        <v>0.46210000000000001</v>
      </c>
      <c r="V42" s="1">
        <v>0.46600000000000003</v>
      </c>
      <c r="W42" s="1">
        <v>0.75880000000000003</v>
      </c>
      <c r="X42" s="1">
        <v>0.63500000000000001</v>
      </c>
      <c r="Y42" s="1">
        <v>0.56259999999999999</v>
      </c>
    </row>
    <row r="43" spans="1:25" ht="25.8" x14ac:dyDescent="0.5">
      <c r="A43" s="6"/>
      <c r="B43" s="13" t="s">
        <v>81</v>
      </c>
      <c r="C43" s="13"/>
      <c r="D43" s="13"/>
      <c r="E43" s="14" t="s">
        <v>82</v>
      </c>
      <c r="F43" s="15"/>
      <c r="G43" s="16"/>
      <c r="H43" s="17" t="s">
        <v>83</v>
      </c>
      <c r="I43" s="18"/>
      <c r="J43" s="19"/>
      <c r="K43" s="20" t="s">
        <v>84</v>
      </c>
      <c r="L43" s="21"/>
      <c r="M43" s="22"/>
      <c r="N43" s="23" t="s">
        <v>85</v>
      </c>
      <c r="O43" s="24"/>
      <c r="P43" s="25"/>
      <c r="Q43" s="17" t="s">
        <v>86</v>
      </c>
      <c r="R43" s="18"/>
      <c r="S43" s="19"/>
      <c r="T43" s="7" t="s">
        <v>87</v>
      </c>
      <c r="U43" s="8"/>
      <c r="V43" s="9"/>
      <c r="W43" s="10" t="s">
        <v>88</v>
      </c>
      <c r="X43" s="11"/>
      <c r="Y43" s="12"/>
    </row>
    <row r="44" spans="1:25" x14ac:dyDescent="0.3">
      <c r="A44" s="3">
        <v>10</v>
      </c>
      <c r="B44" s="1">
        <v>0.96589999999999998</v>
      </c>
      <c r="C44" s="1">
        <v>0.8377</v>
      </c>
      <c r="D44" s="1">
        <v>0.94450000000000001</v>
      </c>
      <c r="E44" s="1">
        <v>1.4426000000000001</v>
      </c>
      <c r="F44" s="1">
        <v>0.88919999999999999</v>
      </c>
      <c r="G44" s="1">
        <v>1.4339</v>
      </c>
      <c r="H44" s="1">
        <v>1.5148999999999999</v>
      </c>
      <c r="I44" s="1">
        <v>1.9722</v>
      </c>
      <c r="J44" s="1">
        <v>1.4469000000000001</v>
      </c>
      <c r="K44" s="1">
        <v>3.2035</v>
      </c>
      <c r="L44" s="1">
        <v>3.3386999999999998</v>
      </c>
      <c r="M44" s="1">
        <v>3.387</v>
      </c>
      <c r="N44" s="1">
        <v>1.6863999999999999</v>
      </c>
      <c r="O44" s="1">
        <v>1.7723</v>
      </c>
      <c r="P44" s="1">
        <v>1.7295</v>
      </c>
      <c r="Q44" s="1">
        <v>3.3239999999999998</v>
      </c>
      <c r="R44" s="1">
        <v>3.3612000000000002</v>
      </c>
      <c r="S44" s="1">
        <v>3.3828999999999998</v>
      </c>
      <c r="T44" s="1">
        <v>3.2797000000000001</v>
      </c>
      <c r="U44" s="1">
        <v>3.1638000000000002</v>
      </c>
      <c r="V44" s="1">
        <v>3.0819999999999999</v>
      </c>
      <c r="W44" s="1">
        <v>2.9634999999999998</v>
      </c>
      <c r="X44" s="1">
        <v>3.2345000000000002</v>
      </c>
      <c r="Y44" s="1">
        <v>1.6937</v>
      </c>
    </row>
    <row r="45" spans="1:25" x14ac:dyDescent="0.3">
      <c r="A45" s="3">
        <f>A44/3</f>
        <v>3.3333333333333335</v>
      </c>
      <c r="B45" s="1">
        <v>0.51419999999999999</v>
      </c>
      <c r="C45" s="1">
        <v>0.42780000000000001</v>
      </c>
      <c r="D45" s="1">
        <v>0.40300000000000002</v>
      </c>
      <c r="E45" s="1">
        <v>1.2039</v>
      </c>
      <c r="F45" s="1">
        <v>0.4924</v>
      </c>
      <c r="G45" s="1">
        <v>0.82179999999999997</v>
      </c>
      <c r="H45" s="1">
        <v>1.0908</v>
      </c>
      <c r="I45" s="1">
        <v>1.1166</v>
      </c>
      <c r="J45" s="1">
        <v>1.0633999999999999</v>
      </c>
      <c r="K45" s="1">
        <v>3.0365000000000002</v>
      </c>
      <c r="L45" s="1">
        <v>2.5581</v>
      </c>
      <c r="M45" s="1">
        <v>3.0676000000000001</v>
      </c>
      <c r="N45" s="1">
        <v>1.1689000000000001</v>
      </c>
      <c r="O45" s="1">
        <v>1.9097</v>
      </c>
      <c r="P45" s="1">
        <v>1.8776999999999999</v>
      </c>
      <c r="Q45" s="1">
        <v>3.2829999999999999</v>
      </c>
      <c r="R45" s="1">
        <v>3.3334999999999999</v>
      </c>
      <c r="S45" s="1">
        <v>3.3371</v>
      </c>
      <c r="T45" s="1">
        <v>3.1791999999999998</v>
      </c>
      <c r="U45" s="1">
        <v>2.9342000000000001</v>
      </c>
      <c r="V45" s="1">
        <v>3.0278</v>
      </c>
      <c r="W45" s="1">
        <v>3.1554000000000002</v>
      </c>
      <c r="X45" s="1">
        <v>3.0545</v>
      </c>
      <c r="Y45" s="1">
        <v>3.1153</v>
      </c>
    </row>
    <row r="46" spans="1:25" x14ac:dyDescent="0.3">
      <c r="A46" s="3">
        <f t="shared" ref="A46:A51" si="1">A45/3</f>
        <v>1.1111111111111112</v>
      </c>
      <c r="B46" s="1">
        <v>0.24640000000000001</v>
      </c>
      <c r="C46" s="1">
        <v>0.21049999999999999</v>
      </c>
      <c r="D46" s="1">
        <v>0.21959999999999999</v>
      </c>
      <c r="E46" s="1">
        <v>0.81579999999999997</v>
      </c>
      <c r="F46" s="1">
        <v>0.36909999999999998</v>
      </c>
      <c r="G46" s="1">
        <v>0.60050000000000003</v>
      </c>
      <c r="H46" s="1">
        <v>0.87919999999999998</v>
      </c>
      <c r="I46" s="1">
        <v>0.98089999999999999</v>
      </c>
      <c r="J46" s="1">
        <v>1.1163000000000001</v>
      </c>
      <c r="K46" s="1">
        <v>2.9632000000000001</v>
      </c>
      <c r="L46" s="1">
        <v>3.2683</v>
      </c>
      <c r="M46" s="1">
        <v>3.0943000000000001</v>
      </c>
      <c r="N46" s="1">
        <v>1.1535</v>
      </c>
      <c r="O46" s="1">
        <v>1.2098</v>
      </c>
      <c r="P46" s="1">
        <v>1.6840999999999999</v>
      </c>
      <c r="Q46" s="1">
        <v>3.2797999999999998</v>
      </c>
      <c r="R46" s="1">
        <v>3.3412999999999999</v>
      </c>
      <c r="S46" s="1">
        <v>3.3336999999999999</v>
      </c>
      <c r="T46" s="1">
        <v>3.081</v>
      </c>
      <c r="U46" s="1">
        <v>2.8963000000000001</v>
      </c>
      <c r="V46" s="1">
        <v>3.1415999999999999</v>
      </c>
      <c r="W46" s="1">
        <v>2.8357000000000001</v>
      </c>
      <c r="X46" s="1">
        <v>2.6762999999999999</v>
      </c>
      <c r="Y46" s="1">
        <v>2.6637</v>
      </c>
    </row>
    <row r="47" spans="1:25" x14ac:dyDescent="0.3">
      <c r="A47" s="3">
        <f t="shared" si="1"/>
        <v>0.37037037037037041</v>
      </c>
      <c r="B47" s="1">
        <v>0.15079999999999999</v>
      </c>
      <c r="C47" s="1">
        <v>0.16370000000000001</v>
      </c>
      <c r="D47" s="1">
        <v>0.14499999999999999</v>
      </c>
      <c r="E47" s="1">
        <v>0.83630000000000004</v>
      </c>
      <c r="F47" s="1">
        <v>0.3644</v>
      </c>
      <c r="G47" s="1">
        <v>0.58179999999999998</v>
      </c>
      <c r="H47" s="1">
        <v>0.6794</v>
      </c>
      <c r="I47" s="1">
        <v>0.95699999999999996</v>
      </c>
      <c r="J47" s="1">
        <v>0.96679999999999999</v>
      </c>
      <c r="K47" s="1">
        <v>3.1690999999999998</v>
      </c>
      <c r="L47" s="1">
        <v>3.1823999999999999</v>
      </c>
      <c r="M47" s="1">
        <v>3.1842000000000001</v>
      </c>
      <c r="N47" s="1">
        <v>1.1008</v>
      </c>
      <c r="O47" s="1">
        <v>1.2751999999999999</v>
      </c>
      <c r="P47" s="1">
        <v>1.2019</v>
      </c>
      <c r="Q47" s="1">
        <v>3.3338999999999999</v>
      </c>
      <c r="R47" s="1">
        <v>3.3391000000000002</v>
      </c>
      <c r="S47" s="1">
        <v>3.3452000000000002</v>
      </c>
      <c r="T47" s="1">
        <v>3.1230000000000002</v>
      </c>
      <c r="U47" s="1">
        <v>2.6385999999999998</v>
      </c>
      <c r="V47" s="1">
        <v>3.1314000000000002</v>
      </c>
      <c r="W47" s="1">
        <v>2.6764000000000001</v>
      </c>
      <c r="X47" s="1">
        <v>2.1297999999999999</v>
      </c>
      <c r="Y47" s="1">
        <v>2.4834999999999998</v>
      </c>
    </row>
    <row r="48" spans="1:25" x14ac:dyDescent="0.3">
      <c r="A48" s="3">
        <f t="shared" si="1"/>
        <v>0.1234567901234568</v>
      </c>
      <c r="B48" s="1">
        <v>0.1027</v>
      </c>
      <c r="C48" s="1">
        <v>0.1193</v>
      </c>
      <c r="D48" s="1">
        <v>0.1089</v>
      </c>
      <c r="E48" s="1">
        <v>0.38950000000000001</v>
      </c>
      <c r="F48" s="1">
        <v>0.2407</v>
      </c>
      <c r="G48" s="1">
        <v>0.54620000000000002</v>
      </c>
      <c r="H48" s="1">
        <v>0.51229999999999998</v>
      </c>
      <c r="I48" s="1">
        <v>0.93959999999999999</v>
      </c>
      <c r="J48" s="1">
        <v>0.83850000000000002</v>
      </c>
      <c r="K48" s="1">
        <v>3.1956000000000002</v>
      </c>
      <c r="L48" s="1">
        <v>3.2479</v>
      </c>
      <c r="M48" s="1">
        <v>3.2585000000000002</v>
      </c>
      <c r="N48" s="1">
        <v>0.41470000000000001</v>
      </c>
      <c r="O48" s="1">
        <v>0.82620000000000005</v>
      </c>
      <c r="P48" s="1">
        <v>0.84530000000000005</v>
      </c>
      <c r="Q48" s="1">
        <v>3.3094999999999999</v>
      </c>
      <c r="R48" s="1">
        <v>3.3146</v>
      </c>
      <c r="S48" s="1">
        <v>3.2978999999999998</v>
      </c>
      <c r="T48" s="1">
        <v>2.7480000000000002</v>
      </c>
      <c r="U48" s="1">
        <v>2.3188</v>
      </c>
      <c r="V48" s="1">
        <v>2.68</v>
      </c>
      <c r="W48" s="1">
        <v>1.0143</v>
      </c>
      <c r="X48" s="1">
        <v>1.409</v>
      </c>
      <c r="Y48" s="1">
        <v>1.7000999999999999</v>
      </c>
    </row>
    <row r="49" spans="1:25" x14ac:dyDescent="0.3">
      <c r="A49" s="3">
        <f t="shared" si="1"/>
        <v>4.1152263374485597E-2</v>
      </c>
      <c r="B49" s="1">
        <v>8.5599999999999996E-2</v>
      </c>
      <c r="C49" s="1">
        <v>9.5000000000000001E-2</v>
      </c>
      <c r="D49" s="1">
        <v>8.6999999999999994E-2</v>
      </c>
      <c r="E49" s="1">
        <v>0.25369999999999998</v>
      </c>
      <c r="F49" s="1">
        <v>0.18890000000000001</v>
      </c>
      <c r="G49" s="1">
        <v>0.15160000000000001</v>
      </c>
      <c r="H49" s="1">
        <v>0.35930000000000001</v>
      </c>
      <c r="I49" s="1">
        <v>0.38669999999999999</v>
      </c>
      <c r="J49" s="1">
        <v>0.32950000000000002</v>
      </c>
      <c r="K49" s="1">
        <v>2.2418</v>
      </c>
      <c r="L49" s="1">
        <v>3.2593000000000001</v>
      </c>
      <c r="M49" s="1">
        <v>3.0461</v>
      </c>
      <c r="N49" s="1">
        <v>0.30880000000000002</v>
      </c>
      <c r="O49" s="1">
        <v>0.46629999999999999</v>
      </c>
      <c r="P49" s="1">
        <v>0.32529999999999998</v>
      </c>
      <c r="Q49" s="1">
        <v>3.2103000000000002</v>
      </c>
      <c r="R49" s="1">
        <v>3.0718000000000001</v>
      </c>
      <c r="S49" s="1">
        <v>2.8805999999999998</v>
      </c>
      <c r="T49" s="1">
        <v>2.2048999999999999</v>
      </c>
      <c r="U49" s="1">
        <v>1.4467000000000001</v>
      </c>
      <c r="V49" s="1">
        <v>1.7107000000000001</v>
      </c>
      <c r="W49" s="1">
        <v>1.0439000000000001</v>
      </c>
      <c r="X49" s="1">
        <v>1.1880999999999999</v>
      </c>
      <c r="Y49" s="1">
        <v>0.93569999999999998</v>
      </c>
    </row>
    <row r="50" spans="1:25" x14ac:dyDescent="0.3">
      <c r="A50" s="3">
        <f t="shared" si="1"/>
        <v>1.3717421124828532E-2</v>
      </c>
      <c r="B50" s="1">
        <v>7.8E-2</v>
      </c>
      <c r="C50" s="1">
        <v>8.8900000000000007E-2</v>
      </c>
      <c r="D50" s="1">
        <v>8.9300000000000004E-2</v>
      </c>
      <c r="E50" s="1">
        <v>0.2107</v>
      </c>
      <c r="F50" s="1">
        <v>0.1371</v>
      </c>
      <c r="G50" s="1">
        <v>0.12189999999999999</v>
      </c>
      <c r="H50" s="1">
        <v>0.3609</v>
      </c>
      <c r="I50" s="1">
        <v>0.35830000000000001</v>
      </c>
      <c r="J50" s="1">
        <v>0.1734</v>
      </c>
      <c r="K50" s="1">
        <v>2.3498999999999999</v>
      </c>
      <c r="L50" s="1">
        <v>3.1574</v>
      </c>
      <c r="M50" s="1">
        <v>3.1147</v>
      </c>
      <c r="N50" s="1">
        <v>0.1447</v>
      </c>
      <c r="O50" s="1">
        <v>0.24429999999999999</v>
      </c>
      <c r="P50" s="1">
        <v>0.24640000000000001</v>
      </c>
      <c r="Q50" s="1">
        <v>2.5754999999999999</v>
      </c>
      <c r="R50" s="1">
        <v>1.9320999999999999</v>
      </c>
      <c r="S50" s="1">
        <v>1.1099000000000001</v>
      </c>
      <c r="T50" s="1">
        <v>0.9748</v>
      </c>
      <c r="U50" s="1">
        <v>0.64910000000000001</v>
      </c>
      <c r="V50" s="1">
        <v>1.1827000000000001</v>
      </c>
      <c r="W50" s="1">
        <v>0.41870000000000002</v>
      </c>
      <c r="X50" s="1">
        <v>0.6502</v>
      </c>
      <c r="Y50" s="1">
        <v>0.71679999999999999</v>
      </c>
    </row>
    <row r="51" spans="1:25" x14ac:dyDescent="0.3">
      <c r="A51" s="3">
        <f t="shared" si="1"/>
        <v>4.5724737082761769E-3</v>
      </c>
      <c r="B51" s="1">
        <v>8.8200000000000001E-2</v>
      </c>
      <c r="C51" s="1">
        <v>9.9000000000000005E-2</v>
      </c>
      <c r="D51" s="1">
        <v>7.7799999999999994E-2</v>
      </c>
      <c r="E51" s="1">
        <v>0.13689999999999999</v>
      </c>
      <c r="F51" s="1">
        <v>0.1079</v>
      </c>
      <c r="G51" s="1">
        <v>0.1346</v>
      </c>
      <c r="H51" s="1">
        <v>0.20610000000000001</v>
      </c>
      <c r="I51" s="1">
        <v>0.1565</v>
      </c>
      <c r="J51" s="1">
        <v>0.1148</v>
      </c>
      <c r="K51" s="1">
        <v>1.7432000000000001</v>
      </c>
      <c r="L51" s="1">
        <v>1.7475000000000001</v>
      </c>
      <c r="M51" s="1">
        <v>2.2063999999999999</v>
      </c>
      <c r="N51" s="1">
        <v>0.16009999999999999</v>
      </c>
      <c r="O51" s="1">
        <v>0.13500000000000001</v>
      </c>
      <c r="P51" s="1">
        <v>0.13339999999999999</v>
      </c>
      <c r="Q51" s="1">
        <v>0.79420000000000002</v>
      </c>
      <c r="R51" s="1">
        <v>1.1397999999999999</v>
      </c>
      <c r="S51" s="1">
        <v>1.0703</v>
      </c>
      <c r="T51" s="1">
        <v>0.45029999999999998</v>
      </c>
      <c r="U51" s="1">
        <v>0.30309999999999998</v>
      </c>
      <c r="V51" s="1">
        <v>0.52010000000000001</v>
      </c>
      <c r="W51" s="1">
        <v>0.41970000000000002</v>
      </c>
      <c r="X51" s="1">
        <v>0.3458</v>
      </c>
      <c r="Y51" s="1">
        <v>0.34429999999999999</v>
      </c>
    </row>
    <row r="52" spans="1:25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25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spans="1:25" x14ac:dyDescent="0.3">
      <c r="A54" s="1" t="s">
        <v>65</v>
      </c>
      <c r="B54" s="1"/>
      <c r="C54" s="1"/>
      <c r="D54" s="1"/>
      <c r="E54" s="1" t="s">
        <v>66</v>
      </c>
      <c r="F54" s="1"/>
      <c r="G54" s="1"/>
      <c r="H54" s="1"/>
      <c r="I54" s="1"/>
      <c r="J54" s="1"/>
      <c r="K54" s="1"/>
    </row>
    <row r="55" spans="1:25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25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</sheetData>
  <mergeCells count="16">
    <mergeCell ref="T34:V34"/>
    <mergeCell ref="W34:Y34"/>
    <mergeCell ref="B34:D34"/>
    <mergeCell ref="E34:G34"/>
    <mergeCell ref="H34:J34"/>
    <mergeCell ref="K34:M34"/>
    <mergeCell ref="N34:P34"/>
    <mergeCell ref="Q34:S34"/>
    <mergeCell ref="T43:V43"/>
    <mergeCell ref="W43:Y43"/>
    <mergeCell ref="B43:D43"/>
    <mergeCell ref="E43:G43"/>
    <mergeCell ref="H43:J43"/>
    <mergeCell ref="K43:M43"/>
    <mergeCell ref="N43:P43"/>
    <mergeCell ref="Q43:S43"/>
  </mergeCells>
  <conditionalFormatting sqref="B35:Y42 B44:Y5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81EB0-6066-4314-95CA-148975B62B3F}">
  <dimension ref="A1:Y56"/>
  <sheetViews>
    <sheetView topLeftCell="A18" zoomScale="70" zoomScaleNormal="70" workbookViewId="0">
      <selection activeCell="A44" sqref="A44"/>
    </sheetView>
  </sheetViews>
  <sheetFormatPr defaultColWidth="8.77734375"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69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 t="s">
        <v>27</v>
      </c>
      <c r="B19" s="1"/>
      <c r="C19" s="1"/>
      <c r="D19" s="1"/>
      <c r="E19" s="1" t="s">
        <v>28</v>
      </c>
      <c r="F19" s="1"/>
      <c r="G19" s="1"/>
      <c r="H19" s="1"/>
      <c r="I19" s="1"/>
      <c r="J19" s="1"/>
      <c r="K19" s="1"/>
    </row>
    <row r="20" spans="1:11" x14ac:dyDescent="0.3">
      <c r="A20" s="1" t="s">
        <v>29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 t="s">
        <v>31</v>
      </c>
      <c r="F21" s="1"/>
      <c r="G21" s="1"/>
      <c r="H21" s="1"/>
      <c r="I21" s="1"/>
      <c r="J21" s="1"/>
      <c r="K21" s="1"/>
    </row>
    <row r="22" spans="1:1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3">
      <c r="A23" s="1" t="s">
        <v>32</v>
      </c>
      <c r="B23" s="1" t="s">
        <v>25</v>
      </c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27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3">
      <c r="A25" s="1" t="s">
        <v>33</v>
      </c>
      <c r="B25" s="1"/>
      <c r="C25" s="1"/>
      <c r="D25" s="1"/>
      <c r="E25" s="1">
        <v>450</v>
      </c>
      <c r="F25" s="1"/>
      <c r="G25" s="1"/>
      <c r="H25" s="1"/>
      <c r="I25" s="1"/>
      <c r="J25" s="1"/>
      <c r="K25" s="1"/>
    </row>
    <row r="26" spans="1:11" x14ac:dyDescent="0.3">
      <c r="A26" s="1" t="s">
        <v>34</v>
      </c>
      <c r="B26" s="1"/>
      <c r="C26" s="1"/>
      <c r="D26" s="1"/>
      <c r="E26" s="1">
        <v>20</v>
      </c>
      <c r="F26" s="1"/>
      <c r="G26" s="1"/>
      <c r="H26" s="1"/>
      <c r="I26" s="1"/>
      <c r="J26" s="1"/>
      <c r="K26" s="1"/>
    </row>
    <row r="27" spans="1:11" x14ac:dyDescent="0.3">
      <c r="A27" s="1" t="s">
        <v>35</v>
      </c>
      <c r="B27" s="1"/>
      <c r="C27" s="1"/>
      <c r="D27" s="1"/>
      <c r="E27" s="1">
        <v>0</v>
      </c>
      <c r="F27" s="1"/>
      <c r="G27" s="1"/>
      <c r="H27" s="1"/>
      <c r="I27" s="1"/>
      <c r="J27" s="1"/>
      <c r="K27" s="1"/>
    </row>
    <row r="28" spans="1:11" x14ac:dyDescent="0.3">
      <c r="A28" s="1" t="s">
        <v>36</v>
      </c>
      <c r="B28" s="1"/>
      <c r="C28" s="1"/>
      <c r="D28" s="1"/>
      <c r="E28" s="1" t="s">
        <v>31</v>
      </c>
      <c r="F28" s="1"/>
      <c r="G28" s="1"/>
      <c r="H28" s="1"/>
      <c r="I28" s="1"/>
      <c r="J28" s="1"/>
      <c r="K28" s="1"/>
    </row>
    <row r="29" spans="1:1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3">
      <c r="A30" s="1" t="s">
        <v>37</v>
      </c>
      <c r="B30" s="1"/>
      <c r="C30" s="1"/>
      <c r="D30" s="1"/>
      <c r="E30" s="1" t="s">
        <v>68</v>
      </c>
      <c r="F30" s="1"/>
      <c r="G30" s="1"/>
      <c r="H30" s="1"/>
      <c r="I30" s="1"/>
      <c r="J30" s="1"/>
      <c r="K30" s="1"/>
    </row>
    <row r="31" spans="1:11" x14ac:dyDescent="0.3">
      <c r="A31" s="1" t="s">
        <v>39</v>
      </c>
      <c r="B31" s="1"/>
      <c r="C31" s="1"/>
      <c r="D31" s="1"/>
      <c r="E31" s="1">
        <v>24.4</v>
      </c>
      <c r="F31" s="1"/>
      <c r="G31" s="1"/>
      <c r="H31" s="1"/>
      <c r="I31" s="1"/>
      <c r="J31" s="1"/>
      <c r="K31" s="1"/>
    </row>
    <row r="32" spans="1:1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25" ht="15" thickBot="1" x14ac:dyDescent="0.35">
      <c r="A33" s="3" t="s">
        <v>40</v>
      </c>
      <c r="B33" s="3" t="s">
        <v>41</v>
      </c>
      <c r="C33" s="3" t="s">
        <v>42</v>
      </c>
      <c r="D33" s="3" t="s">
        <v>43</v>
      </c>
      <c r="E33" s="3" t="s">
        <v>44</v>
      </c>
      <c r="F33" s="3" t="s">
        <v>45</v>
      </c>
      <c r="G33" s="3" t="s">
        <v>46</v>
      </c>
      <c r="H33" s="3" t="s">
        <v>47</v>
      </c>
      <c r="I33" s="3" t="s">
        <v>48</v>
      </c>
      <c r="J33" s="3" t="s">
        <v>49</v>
      </c>
      <c r="K33" s="3" t="s">
        <v>50</v>
      </c>
      <c r="L33" s="3" t="s">
        <v>51</v>
      </c>
      <c r="M33" s="3" t="s">
        <v>52</v>
      </c>
      <c r="N33" s="3" t="s">
        <v>53</v>
      </c>
      <c r="O33" s="3" t="s">
        <v>54</v>
      </c>
      <c r="P33" s="3" t="s">
        <v>55</v>
      </c>
      <c r="Q33" s="3" t="s">
        <v>56</v>
      </c>
      <c r="R33" s="3" t="s">
        <v>57</v>
      </c>
      <c r="S33" s="3" t="s">
        <v>58</v>
      </c>
      <c r="T33" s="3" t="s">
        <v>59</v>
      </c>
      <c r="U33" s="3" t="s">
        <v>60</v>
      </c>
      <c r="V33" s="3" t="s">
        <v>61</v>
      </c>
      <c r="W33" s="3" t="s">
        <v>62</v>
      </c>
      <c r="X33" s="3" t="s">
        <v>63</v>
      </c>
      <c r="Y33" s="3" t="s">
        <v>64</v>
      </c>
    </row>
    <row r="34" spans="1:25" ht="28.8" x14ac:dyDescent="0.55000000000000004">
      <c r="A34" s="5" t="s">
        <v>40</v>
      </c>
      <c r="B34" s="32" t="s">
        <v>73</v>
      </c>
      <c r="C34" s="32"/>
      <c r="D34" s="32"/>
      <c r="E34" s="33" t="s">
        <v>74</v>
      </c>
      <c r="F34" s="33"/>
      <c r="G34" s="33"/>
      <c r="H34" s="34" t="s">
        <v>75</v>
      </c>
      <c r="I34" s="34"/>
      <c r="J34" s="34"/>
      <c r="K34" s="35" t="s">
        <v>76</v>
      </c>
      <c r="L34" s="35"/>
      <c r="M34" s="35"/>
      <c r="N34" s="36" t="s">
        <v>77</v>
      </c>
      <c r="O34" s="37"/>
      <c r="P34" s="38"/>
      <c r="Q34" s="39" t="s">
        <v>78</v>
      </c>
      <c r="R34" s="40"/>
      <c r="S34" s="41"/>
      <c r="T34" s="26" t="s">
        <v>79</v>
      </c>
      <c r="U34" s="27"/>
      <c r="V34" s="28"/>
      <c r="W34" s="29" t="s">
        <v>80</v>
      </c>
      <c r="X34" s="30"/>
      <c r="Y34" s="31"/>
    </row>
    <row r="35" spans="1:25" x14ac:dyDescent="0.3">
      <c r="A35" s="3">
        <v>10</v>
      </c>
      <c r="B35" s="1">
        <v>0.65590000000000004</v>
      </c>
      <c r="C35" s="1">
        <v>0.60580000000000001</v>
      </c>
      <c r="D35" s="1">
        <v>0.55510000000000004</v>
      </c>
      <c r="E35" s="1">
        <v>0.1928</v>
      </c>
      <c r="F35" s="1">
        <v>0.158</v>
      </c>
      <c r="G35" s="1">
        <v>0.14219999999999999</v>
      </c>
      <c r="H35" s="1">
        <v>0.57289999999999996</v>
      </c>
      <c r="I35" s="1">
        <v>0.47899999999999998</v>
      </c>
      <c r="J35" s="1">
        <v>0.47320000000000001</v>
      </c>
      <c r="K35" s="1">
        <v>0.1537</v>
      </c>
      <c r="L35" s="1">
        <v>0.2586</v>
      </c>
      <c r="M35" s="1">
        <v>0.1671</v>
      </c>
      <c r="N35" s="1">
        <v>0.21740000000000001</v>
      </c>
      <c r="O35" s="1">
        <v>0.22220000000000001</v>
      </c>
      <c r="P35" s="1">
        <v>0.2072</v>
      </c>
      <c r="Q35" s="1">
        <v>0.55879999999999996</v>
      </c>
      <c r="R35" s="1">
        <v>0.6633</v>
      </c>
      <c r="S35" s="1">
        <v>0.50229999999999997</v>
      </c>
      <c r="T35" s="1">
        <v>0.2172</v>
      </c>
      <c r="U35" s="1">
        <v>0.2243</v>
      </c>
      <c r="V35" s="1">
        <v>0.2079</v>
      </c>
      <c r="W35" s="1">
        <v>1.2332000000000001</v>
      </c>
      <c r="X35" s="1">
        <v>1.2862</v>
      </c>
      <c r="Y35" s="1">
        <v>1.0947</v>
      </c>
    </row>
    <row r="36" spans="1:25" x14ac:dyDescent="0.3">
      <c r="A36" s="3">
        <f>A35/3</f>
        <v>3.3333333333333335</v>
      </c>
      <c r="B36" s="1">
        <v>0.35370000000000001</v>
      </c>
      <c r="C36" s="1">
        <v>0.39169999999999999</v>
      </c>
      <c r="D36" s="1">
        <v>0.33710000000000001</v>
      </c>
      <c r="E36" s="1">
        <v>0.12130000000000001</v>
      </c>
      <c r="F36" s="1">
        <v>0.1168</v>
      </c>
      <c r="G36" s="1">
        <v>0.1119</v>
      </c>
      <c r="H36" s="1">
        <v>0.27700000000000002</v>
      </c>
      <c r="I36" s="1">
        <v>0.2331</v>
      </c>
      <c r="J36" s="1">
        <v>0.26939999999999997</v>
      </c>
      <c r="K36" s="1">
        <v>0.1143</v>
      </c>
      <c r="L36" s="1">
        <v>0.13339999999999999</v>
      </c>
      <c r="M36" s="1">
        <v>0.11169999999999999</v>
      </c>
      <c r="N36" s="1">
        <v>0.14180000000000001</v>
      </c>
      <c r="O36" s="1">
        <v>0.128</v>
      </c>
      <c r="P36" s="1">
        <v>0.15759999999999999</v>
      </c>
      <c r="Q36" s="1">
        <v>0.4733</v>
      </c>
      <c r="R36" s="1">
        <v>0.64929999999999999</v>
      </c>
      <c r="S36" s="1">
        <v>0.44240000000000002</v>
      </c>
      <c r="T36" s="1">
        <v>0.16550000000000001</v>
      </c>
      <c r="U36" s="1">
        <v>0.14549999999999999</v>
      </c>
      <c r="V36" s="1">
        <v>0.15440000000000001</v>
      </c>
      <c r="W36" s="1">
        <v>0.87070000000000003</v>
      </c>
      <c r="X36" s="1">
        <v>0.88460000000000005</v>
      </c>
      <c r="Y36" s="1">
        <v>0.96009999999999995</v>
      </c>
    </row>
    <row r="37" spans="1:25" x14ac:dyDescent="0.3">
      <c r="A37" s="3">
        <f t="shared" ref="A37:A42" si="0">A36/3</f>
        <v>1.1111111111111112</v>
      </c>
      <c r="B37" s="1">
        <v>0.18410000000000001</v>
      </c>
      <c r="C37" s="1">
        <v>0.28970000000000001</v>
      </c>
      <c r="D37" s="1">
        <v>0.2354</v>
      </c>
      <c r="E37" s="1">
        <v>9.4200000000000006E-2</v>
      </c>
      <c r="F37" s="1">
        <v>9.1899999999999996E-2</v>
      </c>
      <c r="G37" s="1">
        <v>8.43E-2</v>
      </c>
      <c r="H37" s="1">
        <v>0.18840000000000001</v>
      </c>
      <c r="I37" s="1">
        <v>0.16059999999999999</v>
      </c>
      <c r="J37" s="1">
        <v>0.19289999999999999</v>
      </c>
      <c r="K37" s="1">
        <v>8.8499999999999995E-2</v>
      </c>
      <c r="L37" s="1">
        <v>0.1004</v>
      </c>
      <c r="M37" s="1">
        <v>8.9399999999999993E-2</v>
      </c>
      <c r="N37" s="1">
        <v>9.6699999999999994E-2</v>
      </c>
      <c r="O37" s="1">
        <v>9.6299999999999997E-2</v>
      </c>
      <c r="P37" s="1">
        <v>9.8699999999999996E-2</v>
      </c>
      <c r="Q37" s="1">
        <v>0.47599999999999998</v>
      </c>
      <c r="R37" s="1">
        <v>0.36330000000000001</v>
      </c>
      <c r="S37" s="1">
        <v>0.42159999999999997</v>
      </c>
      <c r="T37" s="1">
        <v>0.11609999999999999</v>
      </c>
      <c r="U37" s="1">
        <v>0.10970000000000001</v>
      </c>
      <c r="V37" s="1">
        <v>0.10929999999999999</v>
      </c>
      <c r="W37" s="1">
        <v>0.93659999999999999</v>
      </c>
      <c r="X37" s="1">
        <v>0.79620000000000002</v>
      </c>
      <c r="Y37" s="1">
        <v>0.60209999999999997</v>
      </c>
    </row>
    <row r="38" spans="1:25" x14ac:dyDescent="0.3">
      <c r="A38" s="3">
        <f t="shared" si="0"/>
        <v>0.37037037037037041</v>
      </c>
      <c r="B38" s="1">
        <v>0.1641</v>
      </c>
      <c r="C38" s="1">
        <v>0.1842</v>
      </c>
      <c r="D38" s="1">
        <v>0.1666</v>
      </c>
      <c r="E38" s="1">
        <v>8.3799999999999999E-2</v>
      </c>
      <c r="F38" s="1">
        <v>8.14E-2</v>
      </c>
      <c r="G38" s="1">
        <v>8.0699999999999994E-2</v>
      </c>
      <c r="H38" s="1">
        <v>0.14169999999999999</v>
      </c>
      <c r="I38" s="1">
        <v>0.13550000000000001</v>
      </c>
      <c r="J38" s="1">
        <v>0.1532</v>
      </c>
      <c r="K38" s="1">
        <v>8.6599999999999996E-2</v>
      </c>
      <c r="L38" s="1">
        <v>8.2699999999999996E-2</v>
      </c>
      <c r="M38" s="1">
        <v>7.9600000000000004E-2</v>
      </c>
      <c r="N38" s="1">
        <v>8.8099999999999998E-2</v>
      </c>
      <c r="O38" s="1">
        <v>8.7499999999999994E-2</v>
      </c>
      <c r="P38" s="1">
        <v>0.09</v>
      </c>
      <c r="Q38" s="1">
        <v>0.3</v>
      </c>
      <c r="R38" s="1">
        <v>0.3271</v>
      </c>
      <c r="S38" s="1">
        <v>0.33679999999999999</v>
      </c>
      <c r="T38" s="1">
        <v>9.6100000000000005E-2</v>
      </c>
      <c r="U38" s="1">
        <v>9.6299999999999997E-2</v>
      </c>
      <c r="V38" s="1">
        <v>9.4799999999999995E-2</v>
      </c>
      <c r="W38" s="1">
        <v>0.61009999999999998</v>
      </c>
      <c r="X38" s="1">
        <v>0.78</v>
      </c>
      <c r="Y38" s="1">
        <v>0.60740000000000005</v>
      </c>
    </row>
    <row r="39" spans="1:25" x14ac:dyDescent="0.3">
      <c r="A39" s="3">
        <f t="shared" si="0"/>
        <v>0.1234567901234568</v>
      </c>
      <c r="B39" s="1">
        <v>0.11459999999999999</v>
      </c>
      <c r="C39" s="1">
        <v>0.15570000000000001</v>
      </c>
      <c r="D39" s="1">
        <v>0.1075</v>
      </c>
      <c r="E39" s="1">
        <v>7.6700000000000004E-2</v>
      </c>
      <c r="F39" s="1">
        <v>7.4899999999999994E-2</v>
      </c>
      <c r="G39" s="1">
        <v>7.3700000000000002E-2</v>
      </c>
      <c r="H39" s="1">
        <v>0.10440000000000001</v>
      </c>
      <c r="I39" s="1">
        <v>0.1145</v>
      </c>
      <c r="J39" s="1">
        <v>0.1133</v>
      </c>
      <c r="K39" s="1">
        <v>7.6600000000000001E-2</v>
      </c>
      <c r="L39" s="1">
        <v>7.8E-2</v>
      </c>
      <c r="M39" s="1">
        <v>7.3999999999999996E-2</v>
      </c>
      <c r="N39" s="1">
        <v>7.8299999999999995E-2</v>
      </c>
      <c r="O39" s="1">
        <v>8.0799999999999997E-2</v>
      </c>
      <c r="P39" s="1">
        <v>7.8600000000000003E-2</v>
      </c>
      <c r="Q39" s="1">
        <v>0.27360000000000001</v>
      </c>
      <c r="R39" s="1">
        <v>0.25490000000000002</v>
      </c>
      <c r="S39" s="1">
        <v>0.2762</v>
      </c>
      <c r="T39" s="1">
        <v>8.1000000000000003E-2</v>
      </c>
      <c r="U39" s="1">
        <v>8.3500000000000005E-2</v>
      </c>
      <c r="V39" s="1">
        <v>8.1799999999999998E-2</v>
      </c>
      <c r="W39" s="1">
        <v>0.4975</v>
      </c>
      <c r="X39" s="1">
        <v>0.55600000000000005</v>
      </c>
      <c r="Y39" s="1">
        <v>0.46089999999999998</v>
      </c>
    </row>
    <row r="40" spans="1:25" x14ac:dyDescent="0.3">
      <c r="A40" s="3">
        <f t="shared" si="0"/>
        <v>4.1152263374485597E-2</v>
      </c>
      <c r="B40" s="1">
        <v>0.1008</v>
      </c>
      <c r="C40" s="1">
        <v>0.1109</v>
      </c>
      <c r="D40" s="1">
        <v>9.0499999999999997E-2</v>
      </c>
      <c r="E40" s="1">
        <v>7.5399999999999995E-2</v>
      </c>
      <c r="F40" s="1">
        <v>7.1300000000000002E-2</v>
      </c>
      <c r="G40" s="1">
        <v>7.3300000000000004E-2</v>
      </c>
      <c r="H40" s="1">
        <v>8.6099999999999996E-2</v>
      </c>
      <c r="I40" s="1">
        <v>9.3799999999999994E-2</v>
      </c>
      <c r="J40" s="1">
        <v>0.1002</v>
      </c>
      <c r="K40" s="1">
        <v>8.0799999999999997E-2</v>
      </c>
      <c r="L40" s="1">
        <v>7.4399999999999994E-2</v>
      </c>
      <c r="M40" s="1">
        <v>7.0900000000000005E-2</v>
      </c>
      <c r="N40" s="1">
        <v>7.3999999999999996E-2</v>
      </c>
      <c r="O40" s="1">
        <v>7.2700000000000001E-2</v>
      </c>
      <c r="P40" s="1">
        <v>7.3800000000000004E-2</v>
      </c>
      <c r="Q40" s="1">
        <v>0.15459999999999999</v>
      </c>
      <c r="R40" s="1">
        <v>0.18010000000000001</v>
      </c>
      <c r="S40" s="1">
        <v>0.18140000000000001</v>
      </c>
      <c r="T40" s="1">
        <v>7.7399999999999997E-2</v>
      </c>
      <c r="U40" s="1">
        <v>7.6799999999999993E-2</v>
      </c>
      <c r="V40" s="1">
        <v>7.4700000000000003E-2</v>
      </c>
      <c r="W40" s="1">
        <v>0.3145</v>
      </c>
      <c r="X40" s="1">
        <v>0.29099999999999998</v>
      </c>
      <c r="Y40" s="1">
        <v>0.2341</v>
      </c>
    </row>
    <row r="41" spans="1:25" x14ac:dyDescent="0.3">
      <c r="A41" s="3">
        <f t="shared" si="0"/>
        <v>1.3717421124828532E-2</v>
      </c>
      <c r="B41" s="1">
        <v>8.3900000000000002E-2</v>
      </c>
      <c r="C41" s="1">
        <v>0.1021</v>
      </c>
      <c r="D41" s="1">
        <v>8.1799999999999998E-2</v>
      </c>
      <c r="E41" s="1">
        <v>7.0400000000000004E-2</v>
      </c>
      <c r="F41" s="1">
        <v>7.1199999999999999E-2</v>
      </c>
      <c r="G41" s="1">
        <v>7.1499999999999994E-2</v>
      </c>
      <c r="H41" s="1">
        <v>7.9799999999999996E-2</v>
      </c>
      <c r="I41" s="1">
        <v>8.5099999999999995E-2</v>
      </c>
      <c r="J41" s="1">
        <v>9.2100000000000001E-2</v>
      </c>
      <c r="K41" s="1">
        <v>7.22E-2</v>
      </c>
      <c r="L41" s="1">
        <v>7.4899999999999994E-2</v>
      </c>
      <c r="M41" s="1">
        <v>6.9800000000000001E-2</v>
      </c>
      <c r="N41" s="1">
        <v>7.4200000000000002E-2</v>
      </c>
      <c r="O41" s="1">
        <v>7.2900000000000006E-2</v>
      </c>
      <c r="P41" s="1">
        <v>8.0100000000000005E-2</v>
      </c>
      <c r="Q41" s="1">
        <v>0.13669999999999999</v>
      </c>
      <c r="R41" s="1">
        <v>0.12770000000000001</v>
      </c>
      <c r="S41" s="1">
        <v>0.12280000000000001</v>
      </c>
      <c r="T41" s="1">
        <v>8.2000000000000003E-2</v>
      </c>
      <c r="U41" s="1">
        <v>7.7200000000000005E-2</v>
      </c>
      <c r="V41" s="1">
        <v>7.5700000000000003E-2</v>
      </c>
      <c r="W41" s="1">
        <v>0.21679999999999999</v>
      </c>
      <c r="X41" s="1">
        <v>0.2356</v>
      </c>
      <c r="Y41" s="1">
        <v>0.15590000000000001</v>
      </c>
    </row>
    <row r="42" spans="1:25" x14ac:dyDescent="0.3">
      <c r="A42" s="3">
        <f t="shared" si="0"/>
        <v>4.5724737082761769E-3</v>
      </c>
      <c r="B42" s="1">
        <v>7.5499999999999998E-2</v>
      </c>
      <c r="C42" s="1">
        <v>7.6799999999999993E-2</v>
      </c>
      <c r="D42" s="1">
        <v>8.0799999999999997E-2</v>
      </c>
      <c r="E42" s="1">
        <v>8.0299999999999996E-2</v>
      </c>
      <c r="F42" s="1">
        <v>7.9500000000000001E-2</v>
      </c>
      <c r="G42" s="1">
        <v>0.13450000000000001</v>
      </c>
      <c r="H42" s="1">
        <v>9.4600000000000004E-2</v>
      </c>
      <c r="I42" s="1">
        <v>0.1008</v>
      </c>
      <c r="J42" s="1">
        <v>0.1069</v>
      </c>
      <c r="K42" s="1">
        <v>7.4499999999999997E-2</v>
      </c>
      <c r="L42" s="1">
        <v>7.0499999999999993E-2</v>
      </c>
      <c r="M42" s="1">
        <v>7.3700000000000002E-2</v>
      </c>
      <c r="N42" s="1">
        <v>7.1300000000000002E-2</v>
      </c>
      <c r="O42" s="1">
        <v>7.2300000000000003E-2</v>
      </c>
      <c r="P42" s="1">
        <v>0.11609999999999999</v>
      </c>
      <c r="Q42" s="1">
        <v>0.1082</v>
      </c>
      <c r="R42" s="1">
        <v>0.10390000000000001</v>
      </c>
      <c r="S42" s="1">
        <v>0.1022</v>
      </c>
      <c r="T42" s="1">
        <v>0.1002</v>
      </c>
      <c r="U42" s="1">
        <v>9.7000000000000003E-2</v>
      </c>
      <c r="V42" s="1">
        <v>7.6300000000000007E-2</v>
      </c>
      <c r="W42" s="1">
        <v>0.15090000000000001</v>
      </c>
      <c r="X42" s="1">
        <v>0.1898</v>
      </c>
      <c r="Y42" s="1">
        <v>0.1237</v>
      </c>
    </row>
    <row r="43" spans="1:25" ht="25.8" x14ac:dyDescent="0.5">
      <c r="A43" s="6"/>
      <c r="B43" s="13" t="s">
        <v>81</v>
      </c>
      <c r="C43" s="13"/>
      <c r="D43" s="13"/>
      <c r="E43" s="14" t="s">
        <v>82</v>
      </c>
      <c r="F43" s="15"/>
      <c r="G43" s="16"/>
      <c r="H43" s="17" t="s">
        <v>83</v>
      </c>
      <c r="I43" s="18"/>
      <c r="J43" s="19"/>
      <c r="K43" s="20" t="s">
        <v>84</v>
      </c>
      <c r="L43" s="21"/>
      <c r="M43" s="22"/>
      <c r="N43" s="23" t="s">
        <v>85</v>
      </c>
      <c r="O43" s="24"/>
      <c r="P43" s="25"/>
      <c r="Q43" s="17" t="s">
        <v>86</v>
      </c>
      <c r="R43" s="18"/>
      <c r="S43" s="19"/>
      <c r="T43" s="7" t="s">
        <v>87</v>
      </c>
      <c r="U43" s="8"/>
      <c r="V43" s="9"/>
      <c r="W43" s="10" t="s">
        <v>88</v>
      </c>
      <c r="X43" s="11"/>
      <c r="Y43" s="12"/>
    </row>
    <row r="44" spans="1:25" x14ac:dyDescent="0.3">
      <c r="A44" s="3">
        <v>10</v>
      </c>
      <c r="B44" s="1">
        <v>0.94910000000000005</v>
      </c>
      <c r="C44" s="1">
        <v>0.88119999999999998</v>
      </c>
      <c r="D44" s="1">
        <v>0.91210000000000002</v>
      </c>
      <c r="E44" s="1">
        <v>0.20030000000000001</v>
      </c>
      <c r="F44" s="1">
        <v>0.23080000000000001</v>
      </c>
      <c r="G44" s="1">
        <v>0.19470000000000001</v>
      </c>
      <c r="H44" s="1">
        <v>0.50570000000000004</v>
      </c>
      <c r="I44" s="1">
        <v>0.47139999999999999</v>
      </c>
      <c r="J44" s="1">
        <v>0.45850000000000002</v>
      </c>
      <c r="K44" s="1">
        <v>0.57630000000000003</v>
      </c>
      <c r="L44" s="1">
        <v>0.71589999999999998</v>
      </c>
      <c r="M44" s="1">
        <v>0.70199999999999996</v>
      </c>
      <c r="N44" s="1">
        <v>0.30659999999999998</v>
      </c>
      <c r="O44" s="1">
        <v>0.34860000000000002</v>
      </c>
      <c r="P44" s="1">
        <v>0.33539999999999998</v>
      </c>
      <c r="Q44" s="1">
        <v>3.4030999999999998</v>
      </c>
      <c r="R44" s="1">
        <v>3.3523999999999998</v>
      </c>
      <c r="S44" s="1">
        <v>3.2753999999999999</v>
      </c>
      <c r="T44" s="1">
        <v>3.1667999999999998</v>
      </c>
      <c r="U44" s="1">
        <v>3.2275999999999998</v>
      </c>
      <c r="V44" s="1">
        <v>3.133</v>
      </c>
      <c r="W44" s="1">
        <v>0.91020000000000001</v>
      </c>
      <c r="X44" s="1">
        <v>0.84009999999999996</v>
      </c>
      <c r="Y44" s="1">
        <v>0.66359999999999997</v>
      </c>
    </row>
    <row r="45" spans="1:25" x14ac:dyDescent="0.3">
      <c r="A45" s="3">
        <f>A44/3</f>
        <v>3.3333333333333335</v>
      </c>
      <c r="B45" s="1">
        <v>0.41039999999999999</v>
      </c>
      <c r="C45" s="1">
        <v>0.39450000000000002</v>
      </c>
      <c r="D45" s="1">
        <v>0.39150000000000001</v>
      </c>
      <c r="E45" s="1">
        <v>0.1341</v>
      </c>
      <c r="F45" s="1">
        <v>0.13469999999999999</v>
      </c>
      <c r="G45" s="1">
        <v>0.11600000000000001</v>
      </c>
      <c r="H45" s="1">
        <v>0.2697</v>
      </c>
      <c r="I45" s="1">
        <v>0.30759999999999998</v>
      </c>
      <c r="J45" s="1">
        <v>0.28149999999999997</v>
      </c>
      <c r="K45" s="1">
        <v>0.36370000000000002</v>
      </c>
      <c r="L45" s="1">
        <v>0.35670000000000002</v>
      </c>
      <c r="M45" s="1">
        <v>0.35639999999999999</v>
      </c>
      <c r="N45" s="1">
        <v>0.15640000000000001</v>
      </c>
      <c r="O45" s="1">
        <v>0.2009</v>
      </c>
      <c r="P45" s="1">
        <v>0.19120000000000001</v>
      </c>
      <c r="Q45" s="1">
        <v>3.3342000000000001</v>
      </c>
      <c r="R45" s="1">
        <v>3.3330000000000002</v>
      </c>
      <c r="S45" s="1">
        <v>3.33</v>
      </c>
      <c r="T45" s="1">
        <v>3.2134</v>
      </c>
      <c r="U45" s="1">
        <v>3.1766999999999999</v>
      </c>
      <c r="V45" s="1">
        <v>3.1823999999999999</v>
      </c>
      <c r="W45" s="1">
        <v>0.83450000000000002</v>
      </c>
      <c r="X45" s="1">
        <v>0.94899999999999995</v>
      </c>
      <c r="Y45" s="1">
        <v>0.50190000000000001</v>
      </c>
    </row>
    <row r="46" spans="1:25" x14ac:dyDescent="0.3">
      <c r="A46" s="3">
        <f t="shared" ref="A46:A51" si="1">A45/3</f>
        <v>1.1111111111111112</v>
      </c>
      <c r="B46" s="1">
        <v>0.20250000000000001</v>
      </c>
      <c r="C46" s="1">
        <v>0.2276</v>
      </c>
      <c r="D46" s="1">
        <v>0.19400000000000001</v>
      </c>
      <c r="E46" s="1">
        <v>9.2399999999999996E-2</v>
      </c>
      <c r="F46" s="1">
        <v>9.8900000000000002E-2</v>
      </c>
      <c r="G46" s="1">
        <v>8.9499999999999996E-2</v>
      </c>
      <c r="H46" s="1">
        <v>0.19919999999999999</v>
      </c>
      <c r="I46" s="1">
        <v>0.26029999999999998</v>
      </c>
      <c r="J46" s="1">
        <v>0.19989999999999999</v>
      </c>
      <c r="K46" s="1">
        <v>0.2102</v>
      </c>
      <c r="L46" s="1">
        <v>0.20910000000000001</v>
      </c>
      <c r="M46" s="1">
        <v>0.22850000000000001</v>
      </c>
      <c r="N46" s="1">
        <v>0.12939999999999999</v>
      </c>
      <c r="O46" s="1">
        <v>0.12659999999999999</v>
      </c>
      <c r="P46" s="1">
        <v>0.14130000000000001</v>
      </c>
      <c r="Q46" s="1">
        <v>3.3218000000000001</v>
      </c>
      <c r="R46" s="1">
        <v>3.3405</v>
      </c>
      <c r="S46" s="1">
        <v>3.3536999999999999</v>
      </c>
      <c r="T46" s="1">
        <v>2.8549000000000002</v>
      </c>
      <c r="U46" s="1">
        <v>3.0470999999999999</v>
      </c>
      <c r="V46" s="1">
        <v>3.2359</v>
      </c>
      <c r="W46" s="1">
        <v>0.64249999999999996</v>
      </c>
      <c r="X46" s="1">
        <v>0.60319999999999996</v>
      </c>
      <c r="Y46" s="1">
        <v>0.48249999999999998</v>
      </c>
    </row>
    <row r="47" spans="1:25" x14ac:dyDescent="0.3">
      <c r="A47" s="3">
        <f t="shared" si="1"/>
        <v>0.37037037037037041</v>
      </c>
      <c r="B47" s="1">
        <v>0.15060000000000001</v>
      </c>
      <c r="C47" s="1">
        <v>0.1477</v>
      </c>
      <c r="D47" s="1">
        <v>0.15679999999999999</v>
      </c>
      <c r="E47" s="1">
        <v>8.8200000000000001E-2</v>
      </c>
      <c r="F47" s="1">
        <v>8.7300000000000003E-2</v>
      </c>
      <c r="G47" s="1">
        <v>7.6200000000000004E-2</v>
      </c>
      <c r="H47" s="1">
        <v>0.17199999999999999</v>
      </c>
      <c r="I47" s="1">
        <v>0.20030000000000001</v>
      </c>
      <c r="J47" s="1">
        <v>0.17280000000000001</v>
      </c>
      <c r="K47" s="1">
        <v>0.13919999999999999</v>
      </c>
      <c r="L47" s="1">
        <v>0.158</v>
      </c>
      <c r="M47" s="1">
        <v>0.15939999999999999</v>
      </c>
      <c r="N47" s="1">
        <v>0.1016</v>
      </c>
      <c r="O47" s="1">
        <v>9.9599999999999994E-2</v>
      </c>
      <c r="P47" s="1">
        <v>0.1087</v>
      </c>
      <c r="Q47" s="1">
        <v>3.3348</v>
      </c>
      <c r="R47" s="1">
        <v>3.3565999999999998</v>
      </c>
      <c r="S47" s="1">
        <v>3.3206000000000002</v>
      </c>
      <c r="T47" s="1">
        <v>2.7734999999999999</v>
      </c>
      <c r="U47" s="1">
        <v>2.5095000000000001</v>
      </c>
      <c r="V47" s="1">
        <v>3.1718999999999999</v>
      </c>
      <c r="W47" s="1">
        <v>0.34789999999999999</v>
      </c>
      <c r="X47" s="1">
        <v>0.40100000000000002</v>
      </c>
      <c r="Y47" s="1">
        <v>0.31480000000000002</v>
      </c>
    </row>
    <row r="48" spans="1:25" x14ac:dyDescent="0.3">
      <c r="A48" s="3">
        <f t="shared" si="1"/>
        <v>0.1234567901234568</v>
      </c>
      <c r="B48" s="1">
        <v>0.10009999999999999</v>
      </c>
      <c r="C48" s="1">
        <v>0.1128</v>
      </c>
      <c r="D48" s="1">
        <v>9.7900000000000001E-2</v>
      </c>
      <c r="E48" s="1">
        <v>7.6799999999999993E-2</v>
      </c>
      <c r="F48" s="1">
        <v>7.4300000000000005E-2</v>
      </c>
      <c r="G48" s="1">
        <v>7.3400000000000007E-2</v>
      </c>
      <c r="H48" s="1">
        <v>0.1237</v>
      </c>
      <c r="I48" s="1">
        <v>0.1479</v>
      </c>
      <c r="J48" s="1">
        <v>0.1424</v>
      </c>
      <c r="K48" s="1">
        <v>0.1152</v>
      </c>
      <c r="L48" s="1">
        <v>0.1076</v>
      </c>
      <c r="M48" s="1">
        <v>0.1045</v>
      </c>
      <c r="N48" s="1">
        <v>8.1900000000000001E-2</v>
      </c>
      <c r="O48" s="1">
        <v>9.1700000000000004E-2</v>
      </c>
      <c r="P48" s="1">
        <v>9.0300000000000005E-2</v>
      </c>
      <c r="Q48" s="1">
        <v>3.3725000000000001</v>
      </c>
      <c r="R48" s="1">
        <v>3.3010000000000002</v>
      </c>
      <c r="S48" s="1">
        <v>3.2673999999999999</v>
      </c>
      <c r="T48" s="1">
        <v>2.7974000000000001</v>
      </c>
      <c r="U48" s="1">
        <v>2.6030000000000002</v>
      </c>
      <c r="V48" s="1">
        <v>2.9371999999999998</v>
      </c>
      <c r="W48" s="1">
        <v>0.22</v>
      </c>
      <c r="X48" s="1">
        <v>0.2636</v>
      </c>
      <c r="Y48" s="1">
        <v>0.1988</v>
      </c>
    </row>
    <row r="49" spans="1:25" x14ac:dyDescent="0.3">
      <c r="A49" s="3">
        <f t="shared" si="1"/>
        <v>4.1152263374485597E-2</v>
      </c>
      <c r="B49" s="1">
        <v>8.5999999999999993E-2</v>
      </c>
      <c r="C49" s="1">
        <v>8.7900000000000006E-2</v>
      </c>
      <c r="D49" s="1">
        <v>8.7900000000000006E-2</v>
      </c>
      <c r="E49" s="1">
        <v>7.4300000000000005E-2</v>
      </c>
      <c r="F49" s="1">
        <v>7.4200000000000002E-2</v>
      </c>
      <c r="G49" s="1">
        <v>8.3799999999999999E-2</v>
      </c>
      <c r="H49" s="1">
        <v>0.1021</v>
      </c>
      <c r="I49" s="1">
        <v>0.1103</v>
      </c>
      <c r="J49" s="1">
        <v>0.109</v>
      </c>
      <c r="K49" s="1">
        <v>9.8900000000000002E-2</v>
      </c>
      <c r="L49" s="1">
        <v>9.64E-2</v>
      </c>
      <c r="M49" s="1">
        <v>9.8199999999999996E-2</v>
      </c>
      <c r="N49" s="1">
        <v>8.4099999999999994E-2</v>
      </c>
      <c r="O49" s="1">
        <v>8.14E-2</v>
      </c>
      <c r="P49" s="1">
        <v>8.2199999999999995E-2</v>
      </c>
      <c r="Q49" s="1">
        <v>3.1709999999999998</v>
      </c>
      <c r="R49" s="1">
        <v>2.5655000000000001</v>
      </c>
      <c r="S49" s="1">
        <v>1.9914000000000001</v>
      </c>
      <c r="T49" s="1">
        <v>2.1745999999999999</v>
      </c>
      <c r="U49" s="1">
        <v>2.1677</v>
      </c>
      <c r="V49" s="1">
        <v>1.5923</v>
      </c>
      <c r="W49" s="1">
        <v>0.1137</v>
      </c>
      <c r="X49" s="1">
        <v>0.1331</v>
      </c>
      <c r="Y49" s="1">
        <v>0.1278</v>
      </c>
    </row>
    <row r="50" spans="1:25" x14ac:dyDescent="0.3">
      <c r="A50" s="3">
        <f t="shared" si="1"/>
        <v>1.3717421124828532E-2</v>
      </c>
      <c r="B50" s="1">
        <v>7.4899999999999994E-2</v>
      </c>
      <c r="C50" s="1">
        <v>0.08</v>
      </c>
      <c r="D50" s="1">
        <v>7.8899999999999998E-2</v>
      </c>
      <c r="E50" s="1">
        <v>7.17E-2</v>
      </c>
      <c r="F50" s="1">
        <v>7.1900000000000006E-2</v>
      </c>
      <c r="G50" s="1">
        <v>7.2700000000000001E-2</v>
      </c>
      <c r="H50" s="1">
        <v>0.09</v>
      </c>
      <c r="I50" s="1">
        <v>9.6000000000000002E-2</v>
      </c>
      <c r="J50" s="1">
        <v>9.6199999999999994E-2</v>
      </c>
      <c r="K50" s="1">
        <v>7.9299999999999995E-2</v>
      </c>
      <c r="L50" s="1">
        <v>7.7299999999999994E-2</v>
      </c>
      <c r="M50" s="1">
        <v>8.4500000000000006E-2</v>
      </c>
      <c r="N50" s="1">
        <v>7.5499999999999998E-2</v>
      </c>
      <c r="O50" s="1">
        <v>7.3499999999999996E-2</v>
      </c>
      <c r="P50" s="1">
        <v>7.4099999999999999E-2</v>
      </c>
      <c r="Q50" s="1">
        <v>2.1204000000000001</v>
      </c>
      <c r="R50" s="1">
        <v>1.4666999999999999</v>
      </c>
      <c r="S50" s="1">
        <v>1.5059</v>
      </c>
      <c r="T50" s="1">
        <v>0.79239999999999999</v>
      </c>
      <c r="U50" s="1">
        <v>0.71150000000000002</v>
      </c>
      <c r="V50" s="1">
        <v>1.3776999999999999</v>
      </c>
      <c r="W50" s="1">
        <v>0.11799999999999999</v>
      </c>
      <c r="X50" s="1">
        <v>9.98E-2</v>
      </c>
      <c r="Y50" s="1">
        <v>8.6499999999999994E-2</v>
      </c>
    </row>
    <row r="51" spans="1:25" x14ac:dyDescent="0.3">
      <c r="A51" s="3">
        <f t="shared" si="1"/>
        <v>4.5724737082761769E-3</v>
      </c>
      <c r="B51" s="1">
        <v>7.8600000000000003E-2</v>
      </c>
      <c r="C51" s="1">
        <v>7.3499999999999996E-2</v>
      </c>
      <c r="D51" s="1">
        <v>7.5999999999999998E-2</v>
      </c>
      <c r="E51" s="1">
        <v>7.7100000000000002E-2</v>
      </c>
      <c r="F51" s="1">
        <v>6.93E-2</v>
      </c>
      <c r="G51" s="1">
        <v>7.5600000000000001E-2</v>
      </c>
      <c r="H51" s="1">
        <v>7.8100000000000003E-2</v>
      </c>
      <c r="I51" s="1">
        <v>7.9899999999999999E-2</v>
      </c>
      <c r="J51" s="1">
        <v>9.3299999999999994E-2</v>
      </c>
      <c r="K51" s="1">
        <v>7.3099999999999998E-2</v>
      </c>
      <c r="L51" s="1">
        <v>7.4099999999999999E-2</v>
      </c>
      <c r="M51" s="1">
        <v>7.6300000000000007E-2</v>
      </c>
      <c r="N51" s="1">
        <v>7.0999999999999994E-2</v>
      </c>
      <c r="O51" s="1">
        <v>7.3200000000000001E-2</v>
      </c>
      <c r="P51" s="1">
        <v>7.1300000000000002E-2</v>
      </c>
      <c r="Q51" s="1">
        <v>1.1325000000000001</v>
      </c>
      <c r="R51" s="1">
        <v>1.2129000000000001</v>
      </c>
      <c r="S51" s="1">
        <v>0.75360000000000005</v>
      </c>
      <c r="T51" s="1">
        <v>0.47939999999999999</v>
      </c>
      <c r="U51" s="1">
        <v>0.54559999999999997</v>
      </c>
      <c r="V51" s="1">
        <v>0.53510000000000002</v>
      </c>
      <c r="W51" s="1">
        <v>8.3699999999999997E-2</v>
      </c>
      <c r="X51" s="1">
        <v>8.3599999999999994E-2</v>
      </c>
      <c r="Y51" s="1">
        <v>8.0299999999999996E-2</v>
      </c>
    </row>
    <row r="52" spans="1:25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25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spans="1:25" x14ac:dyDescent="0.3">
      <c r="A54" s="1" t="s">
        <v>65</v>
      </c>
      <c r="B54" s="1"/>
      <c r="C54" s="1"/>
      <c r="D54" s="1"/>
      <c r="E54" s="1" t="s">
        <v>67</v>
      </c>
      <c r="F54" s="1"/>
      <c r="G54" s="1"/>
      <c r="H54" s="1"/>
      <c r="I54" s="1"/>
      <c r="J54" s="1"/>
      <c r="K54" s="1"/>
    </row>
    <row r="55" spans="1:25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25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</sheetData>
  <mergeCells count="16">
    <mergeCell ref="T34:V34"/>
    <mergeCell ref="W34:Y34"/>
    <mergeCell ref="B43:D43"/>
    <mergeCell ref="E43:G43"/>
    <mergeCell ref="H43:J43"/>
    <mergeCell ref="K43:M43"/>
    <mergeCell ref="N43:P43"/>
    <mergeCell ref="Q43:S43"/>
    <mergeCell ref="T43:V43"/>
    <mergeCell ref="W43:Y43"/>
    <mergeCell ref="B34:D34"/>
    <mergeCell ref="E34:G34"/>
    <mergeCell ref="H34:J34"/>
    <mergeCell ref="K34:M34"/>
    <mergeCell ref="N34:P34"/>
    <mergeCell ref="Q34:S34"/>
  </mergeCells>
  <conditionalFormatting sqref="B35:Y42 B44:Y5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276AA-179D-4D18-B5CC-398C4AD1C96E}">
  <dimension ref="A1:Y56"/>
  <sheetViews>
    <sheetView tabSelected="1" topLeftCell="A26" zoomScale="70" zoomScaleNormal="70" workbookViewId="0">
      <selection activeCell="B43" sqref="B43:D51"/>
    </sheetView>
  </sheetViews>
  <sheetFormatPr defaultColWidth="8.77734375"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72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 t="s">
        <v>27</v>
      </c>
      <c r="B19" s="1"/>
      <c r="C19" s="1"/>
      <c r="D19" s="1"/>
      <c r="E19" s="1" t="s">
        <v>28</v>
      </c>
      <c r="F19" s="1"/>
      <c r="G19" s="1"/>
      <c r="H19" s="1"/>
      <c r="I19" s="1"/>
      <c r="J19" s="1"/>
      <c r="K19" s="1"/>
    </row>
    <row r="20" spans="1:11" x14ac:dyDescent="0.3">
      <c r="A20" s="1" t="s">
        <v>29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 t="s">
        <v>31</v>
      </c>
      <c r="F21" s="1"/>
      <c r="G21" s="1"/>
      <c r="H21" s="1"/>
      <c r="I21" s="1"/>
      <c r="J21" s="1"/>
      <c r="K21" s="1"/>
    </row>
    <row r="22" spans="1:1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3">
      <c r="A23" s="1" t="s">
        <v>32</v>
      </c>
      <c r="B23" s="1" t="s">
        <v>25</v>
      </c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27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3">
      <c r="A25" s="1" t="s">
        <v>33</v>
      </c>
      <c r="B25" s="1"/>
      <c r="C25" s="1"/>
      <c r="D25" s="1"/>
      <c r="E25" s="1">
        <v>450</v>
      </c>
      <c r="F25" s="1"/>
      <c r="G25" s="1"/>
      <c r="H25" s="1"/>
      <c r="I25" s="1"/>
      <c r="J25" s="1"/>
      <c r="K25" s="1"/>
    </row>
    <row r="26" spans="1:11" x14ac:dyDescent="0.3">
      <c r="A26" s="1" t="s">
        <v>34</v>
      </c>
      <c r="B26" s="1"/>
      <c r="C26" s="1"/>
      <c r="D26" s="1"/>
      <c r="E26" s="1">
        <v>20</v>
      </c>
      <c r="F26" s="1"/>
      <c r="G26" s="1"/>
      <c r="H26" s="1"/>
      <c r="I26" s="1"/>
      <c r="J26" s="1"/>
      <c r="K26" s="1"/>
    </row>
    <row r="27" spans="1:11" x14ac:dyDescent="0.3">
      <c r="A27" s="1" t="s">
        <v>35</v>
      </c>
      <c r="B27" s="1"/>
      <c r="C27" s="1"/>
      <c r="D27" s="1"/>
      <c r="E27" s="1">
        <v>0</v>
      </c>
      <c r="F27" s="1"/>
      <c r="G27" s="1"/>
      <c r="H27" s="1"/>
      <c r="I27" s="1"/>
      <c r="J27" s="1"/>
      <c r="K27" s="1"/>
    </row>
    <row r="28" spans="1:11" x14ac:dyDescent="0.3">
      <c r="A28" s="1" t="s">
        <v>36</v>
      </c>
      <c r="B28" s="1"/>
      <c r="C28" s="1"/>
      <c r="D28" s="1"/>
      <c r="E28" s="1" t="s">
        <v>31</v>
      </c>
      <c r="F28" s="1"/>
      <c r="G28" s="1"/>
      <c r="H28" s="1"/>
      <c r="I28" s="1"/>
      <c r="J28" s="1"/>
      <c r="K28" s="1"/>
    </row>
    <row r="29" spans="1:1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3">
      <c r="A30" s="1" t="s">
        <v>37</v>
      </c>
      <c r="B30" s="1"/>
      <c r="C30" s="1"/>
      <c r="D30" s="1"/>
      <c r="E30" s="1" t="s">
        <v>71</v>
      </c>
      <c r="F30" s="1"/>
      <c r="G30" s="1"/>
      <c r="H30" s="1"/>
      <c r="I30" s="1"/>
      <c r="J30" s="1"/>
      <c r="K30" s="1"/>
    </row>
    <row r="31" spans="1:11" x14ac:dyDescent="0.3">
      <c r="A31" s="1" t="s">
        <v>39</v>
      </c>
      <c r="B31" s="1"/>
      <c r="C31" s="1"/>
      <c r="D31" s="1"/>
      <c r="E31" s="1">
        <v>24.4</v>
      </c>
      <c r="F31" s="1"/>
      <c r="G31" s="1"/>
      <c r="H31" s="1"/>
      <c r="I31" s="1"/>
      <c r="J31" s="1"/>
      <c r="K31" s="1"/>
    </row>
    <row r="32" spans="1:1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25" ht="15" thickBot="1" x14ac:dyDescent="0.35">
      <c r="A33" s="3" t="s">
        <v>40</v>
      </c>
      <c r="B33" s="3" t="s">
        <v>41</v>
      </c>
      <c r="C33" s="3" t="s">
        <v>42</v>
      </c>
      <c r="D33" s="3" t="s">
        <v>43</v>
      </c>
      <c r="E33" s="3" t="s">
        <v>44</v>
      </c>
      <c r="F33" s="3" t="s">
        <v>45</v>
      </c>
      <c r="G33" s="3" t="s">
        <v>46</v>
      </c>
      <c r="H33" s="3" t="s">
        <v>47</v>
      </c>
      <c r="I33" s="3" t="s">
        <v>48</v>
      </c>
      <c r="J33" s="3" t="s">
        <v>49</v>
      </c>
      <c r="K33" s="3" t="s">
        <v>50</v>
      </c>
      <c r="L33" s="3" t="s">
        <v>51</v>
      </c>
      <c r="M33" s="3" t="s">
        <v>52</v>
      </c>
      <c r="N33" s="3" t="s">
        <v>53</v>
      </c>
      <c r="O33" s="3" t="s">
        <v>54</v>
      </c>
      <c r="P33" s="3" t="s">
        <v>55</v>
      </c>
      <c r="Q33" s="3" t="s">
        <v>56</v>
      </c>
      <c r="R33" s="3" t="s">
        <v>57</v>
      </c>
      <c r="S33" s="3" t="s">
        <v>58</v>
      </c>
      <c r="T33" s="3" t="s">
        <v>59</v>
      </c>
      <c r="U33" s="3" t="s">
        <v>60</v>
      </c>
      <c r="V33" s="3" t="s">
        <v>61</v>
      </c>
      <c r="W33" s="3" t="s">
        <v>62</v>
      </c>
      <c r="X33" s="3" t="s">
        <v>63</v>
      </c>
      <c r="Y33" s="3" t="s">
        <v>64</v>
      </c>
    </row>
    <row r="34" spans="1:25" ht="28.8" x14ac:dyDescent="0.55000000000000004">
      <c r="A34" s="5" t="s">
        <v>40</v>
      </c>
      <c r="B34" s="32" t="s">
        <v>73</v>
      </c>
      <c r="C34" s="32"/>
      <c r="D34" s="32"/>
      <c r="E34" s="33" t="s">
        <v>74</v>
      </c>
      <c r="F34" s="33"/>
      <c r="G34" s="33"/>
      <c r="H34" s="34" t="s">
        <v>75</v>
      </c>
      <c r="I34" s="34"/>
      <c r="J34" s="34"/>
      <c r="K34" s="35" t="s">
        <v>76</v>
      </c>
      <c r="L34" s="35"/>
      <c r="M34" s="35"/>
      <c r="N34" s="36" t="s">
        <v>77</v>
      </c>
      <c r="O34" s="37"/>
      <c r="P34" s="38"/>
      <c r="Q34" s="39" t="s">
        <v>78</v>
      </c>
      <c r="R34" s="40"/>
      <c r="S34" s="41"/>
      <c r="T34" s="26" t="s">
        <v>79</v>
      </c>
      <c r="U34" s="27"/>
      <c r="V34" s="28"/>
      <c r="W34" s="29" t="s">
        <v>80</v>
      </c>
      <c r="X34" s="30"/>
      <c r="Y34" s="31"/>
    </row>
    <row r="35" spans="1:25" x14ac:dyDescent="0.3">
      <c r="A35" s="3">
        <v>10</v>
      </c>
      <c r="B35" s="1">
        <v>0.61350000000000005</v>
      </c>
      <c r="C35" s="1">
        <v>0.89349999999999996</v>
      </c>
      <c r="D35" s="1">
        <v>0.65569999999999995</v>
      </c>
      <c r="E35" s="1">
        <v>0.16650000000000001</v>
      </c>
      <c r="F35" s="1">
        <v>0.18390000000000001</v>
      </c>
      <c r="G35" s="1">
        <v>0.14910000000000001</v>
      </c>
      <c r="H35" s="1">
        <v>0.60599999999999998</v>
      </c>
      <c r="I35" s="1">
        <v>0.443</v>
      </c>
      <c r="J35" s="1">
        <v>0.55700000000000005</v>
      </c>
      <c r="K35" s="1">
        <v>0.25869999999999999</v>
      </c>
      <c r="L35" s="1">
        <v>0.26179999999999998</v>
      </c>
      <c r="M35" s="1">
        <v>0.25569999999999998</v>
      </c>
      <c r="N35" s="1">
        <v>0.17249999999999999</v>
      </c>
      <c r="O35" s="1">
        <v>0.14280000000000001</v>
      </c>
      <c r="P35" s="1">
        <v>0.15390000000000001</v>
      </c>
      <c r="Q35" s="1">
        <v>0.23469999999999999</v>
      </c>
      <c r="R35" s="1">
        <v>0.25419999999999998</v>
      </c>
      <c r="S35" s="1">
        <v>0.19489999999999999</v>
      </c>
      <c r="T35" s="1">
        <v>0.2868</v>
      </c>
      <c r="U35" s="1">
        <v>0.27979999999999999</v>
      </c>
      <c r="V35" s="1">
        <v>0.29110000000000003</v>
      </c>
      <c r="W35" s="1">
        <v>0.41670000000000001</v>
      </c>
      <c r="X35" s="1">
        <v>0.42409999999999998</v>
      </c>
      <c r="Y35" s="1">
        <v>0.40450000000000003</v>
      </c>
    </row>
    <row r="36" spans="1:25" x14ac:dyDescent="0.3">
      <c r="A36" s="3">
        <f>A35/3</f>
        <v>3.3333333333333335</v>
      </c>
      <c r="B36" s="1">
        <v>0.44309999999999999</v>
      </c>
      <c r="C36" s="1">
        <v>0.41160000000000002</v>
      </c>
      <c r="D36" s="1">
        <v>0.28289999999999998</v>
      </c>
      <c r="E36" s="1">
        <v>0.1242</v>
      </c>
      <c r="F36" s="1">
        <v>0.1198</v>
      </c>
      <c r="G36" s="1">
        <v>0.1208</v>
      </c>
      <c r="H36" s="1">
        <v>0.41810000000000003</v>
      </c>
      <c r="I36" s="1">
        <v>0.3508</v>
      </c>
      <c r="J36" s="1">
        <v>0.38159999999999999</v>
      </c>
      <c r="K36" s="1">
        <v>0.1497</v>
      </c>
      <c r="L36" s="1">
        <v>0.17069999999999999</v>
      </c>
      <c r="M36" s="1">
        <v>0.15559999999999999</v>
      </c>
      <c r="N36" s="1">
        <v>0.1022</v>
      </c>
      <c r="O36" s="1">
        <v>9.5799999999999996E-2</v>
      </c>
      <c r="P36" s="1">
        <v>9.9599999999999994E-2</v>
      </c>
      <c r="Q36" s="1">
        <v>0.13370000000000001</v>
      </c>
      <c r="R36" s="1">
        <v>0.1361</v>
      </c>
      <c r="S36" s="1">
        <v>0.1275</v>
      </c>
      <c r="T36" s="1">
        <v>0.1928</v>
      </c>
      <c r="U36" s="1">
        <v>0.18779999999999999</v>
      </c>
      <c r="V36" s="1">
        <v>0.18149999999999999</v>
      </c>
      <c r="W36" s="1">
        <v>0.25069999999999998</v>
      </c>
      <c r="X36" s="1">
        <v>0.26540000000000002</v>
      </c>
      <c r="Y36" s="1">
        <v>0.22700000000000001</v>
      </c>
    </row>
    <row r="37" spans="1:25" x14ac:dyDescent="0.3">
      <c r="A37" s="3">
        <f t="shared" ref="A37:A42" si="0">A36/3</f>
        <v>1.1111111111111112</v>
      </c>
      <c r="B37" s="1">
        <v>0.2467</v>
      </c>
      <c r="C37" s="1">
        <v>0.36859999999999998</v>
      </c>
      <c r="D37" s="1">
        <v>0.32640000000000002</v>
      </c>
      <c r="E37" s="1">
        <v>9.4399999999999998E-2</v>
      </c>
      <c r="F37" s="1">
        <v>7.8899999999999998E-2</v>
      </c>
      <c r="G37" s="1">
        <v>9.06E-2</v>
      </c>
      <c r="H37" s="1">
        <v>0.2545</v>
      </c>
      <c r="I37" s="1">
        <v>0.2727</v>
      </c>
      <c r="J37" s="1">
        <v>0.22919999999999999</v>
      </c>
      <c r="K37" s="1">
        <v>0.1186</v>
      </c>
      <c r="L37" s="1">
        <v>0.1036</v>
      </c>
      <c r="M37" s="1">
        <v>0.1028</v>
      </c>
      <c r="N37" s="1">
        <v>8.5400000000000004E-2</v>
      </c>
      <c r="O37" s="1">
        <v>7.9200000000000007E-2</v>
      </c>
      <c r="P37" s="1">
        <v>7.8799999999999995E-2</v>
      </c>
      <c r="Q37" s="1">
        <v>0.10680000000000001</v>
      </c>
      <c r="R37" s="1">
        <v>0.1278</v>
      </c>
      <c r="S37" s="1">
        <v>0.1047</v>
      </c>
      <c r="T37" s="1">
        <v>0.12330000000000001</v>
      </c>
      <c r="U37" s="1">
        <v>0.12870000000000001</v>
      </c>
      <c r="V37" s="1">
        <v>0.13339999999999999</v>
      </c>
      <c r="W37" s="1">
        <v>0.14979999999999999</v>
      </c>
      <c r="X37" s="1">
        <v>0.1646</v>
      </c>
      <c r="Y37" s="1">
        <v>0.1449</v>
      </c>
    </row>
    <row r="38" spans="1:25" x14ac:dyDescent="0.3">
      <c r="A38" s="3">
        <f t="shared" si="0"/>
        <v>0.37037037037037041</v>
      </c>
      <c r="B38" s="1">
        <v>0.23100000000000001</v>
      </c>
      <c r="C38" s="1">
        <v>0.1918</v>
      </c>
      <c r="D38" s="1">
        <v>0.2369</v>
      </c>
      <c r="E38" s="1">
        <v>8.4699999999999998E-2</v>
      </c>
      <c r="F38" s="1">
        <v>7.9299999999999995E-2</v>
      </c>
      <c r="G38" s="1">
        <v>8.0199999999999994E-2</v>
      </c>
      <c r="H38" s="1">
        <v>0.18360000000000001</v>
      </c>
      <c r="I38" s="1">
        <v>0.128</v>
      </c>
      <c r="J38" s="1">
        <v>0.21060000000000001</v>
      </c>
      <c r="K38" s="1">
        <v>9.6000000000000002E-2</v>
      </c>
      <c r="L38" s="1">
        <v>8.9700000000000002E-2</v>
      </c>
      <c r="M38" s="1">
        <v>8.9599999999999999E-2</v>
      </c>
      <c r="N38" s="1">
        <v>7.8200000000000006E-2</v>
      </c>
      <c r="O38" s="1">
        <v>7.2099999999999997E-2</v>
      </c>
      <c r="P38" s="1">
        <v>7.4200000000000002E-2</v>
      </c>
      <c r="Q38" s="1">
        <v>8.9800000000000005E-2</v>
      </c>
      <c r="R38" s="1">
        <v>9.98E-2</v>
      </c>
      <c r="S38" s="1">
        <v>8.7099999999999997E-2</v>
      </c>
      <c r="T38" s="1">
        <v>9.7299999999999998E-2</v>
      </c>
      <c r="U38" s="1">
        <v>9.4899999999999998E-2</v>
      </c>
      <c r="V38" s="1">
        <v>0.1009</v>
      </c>
      <c r="W38" s="1">
        <v>0.1244</v>
      </c>
      <c r="X38" s="1">
        <v>0.12770000000000001</v>
      </c>
      <c r="Y38" s="1">
        <v>0.1181</v>
      </c>
    </row>
    <row r="39" spans="1:25" x14ac:dyDescent="0.3">
      <c r="A39" s="3">
        <f t="shared" si="0"/>
        <v>0.1234567901234568</v>
      </c>
      <c r="B39" s="1">
        <v>0.13239999999999999</v>
      </c>
      <c r="C39" s="1">
        <v>0.15709999999999999</v>
      </c>
      <c r="D39" s="1">
        <v>0.16600000000000001</v>
      </c>
      <c r="E39" s="1">
        <v>7.7600000000000002E-2</v>
      </c>
      <c r="F39" s="1">
        <v>7.5899999999999995E-2</v>
      </c>
      <c r="G39" s="1">
        <v>7.6700000000000004E-2</v>
      </c>
      <c r="H39" s="1">
        <v>0.1406</v>
      </c>
      <c r="I39" s="1">
        <v>0.13519999999999999</v>
      </c>
      <c r="J39" s="1">
        <v>0.14699999999999999</v>
      </c>
      <c r="K39" s="1">
        <v>8.2000000000000003E-2</v>
      </c>
      <c r="L39" s="1">
        <v>8.9099999999999999E-2</v>
      </c>
      <c r="M39" s="1">
        <v>7.7399999999999997E-2</v>
      </c>
      <c r="N39" s="1">
        <v>7.3999999999999996E-2</v>
      </c>
      <c r="O39" s="1">
        <v>7.1900000000000006E-2</v>
      </c>
      <c r="P39" s="1">
        <v>7.2499999999999995E-2</v>
      </c>
      <c r="Q39" s="1">
        <v>7.9799999999999996E-2</v>
      </c>
      <c r="R39" s="1">
        <v>8.9499999999999996E-2</v>
      </c>
      <c r="S39" s="1">
        <v>7.6399999999999996E-2</v>
      </c>
      <c r="T39" s="1">
        <v>8.4199999999999997E-2</v>
      </c>
      <c r="U39" s="1">
        <v>8.1000000000000003E-2</v>
      </c>
      <c r="V39" s="1">
        <v>9.1499999999999998E-2</v>
      </c>
      <c r="W39" s="1">
        <v>9.1300000000000006E-2</v>
      </c>
      <c r="X39" s="1">
        <v>9.3200000000000005E-2</v>
      </c>
      <c r="Y39" s="1">
        <v>9.3100000000000002E-2</v>
      </c>
    </row>
    <row r="40" spans="1:25" x14ac:dyDescent="0.3">
      <c r="A40" s="3">
        <f t="shared" si="0"/>
        <v>4.1152263374485597E-2</v>
      </c>
      <c r="B40" s="1">
        <v>0.13070000000000001</v>
      </c>
      <c r="C40" s="1">
        <v>0.14369999999999999</v>
      </c>
      <c r="D40" s="1">
        <v>0.1263</v>
      </c>
      <c r="E40" s="1">
        <v>7.2300000000000003E-2</v>
      </c>
      <c r="F40" s="1">
        <v>7.2599999999999998E-2</v>
      </c>
      <c r="G40" s="1">
        <v>7.1999999999999995E-2</v>
      </c>
      <c r="H40" s="1">
        <v>0.1072</v>
      </c>
      <c r="I40" s="1">
        <v>0.1108</v>
      </c>
      <c r="J40" s="1">
        <v>0.10920000000000001</v>
      </c>
      <c r="K40" s="1">
        <v>8.6499999999999994E-2</v>
      </c>
      <c r="L40" s="1">
        <v>7.7399999999999997E-2</v>
      </c>
      <c r="M40" s="1">
        <v>7.5999999999999998E-2</v>
      </c>
      <c r="N40" s="1">
        <v>7.2599999999999998E-2</v>
      </c>
      <c r="O40" s="1">
        <v>7.1499999999999994E-2</v>
      </c>
      <c r="P40" s="1">
        <v>7.1400000000000005E-2</v>
      </c>
      <c r="Q40" s="1">
        <v>7.6799999999999993E-2</v>
      </c>
      <c r="R40" s="1">
        <v>8.6499999999999994E-2</v>
      </c>
      <c r="S40" s="1">
        <v>7.1599999999999997E-2</v>
      </c>
      <c r="T40" s="1">
        <v>7.3700000000000002E-2</v>
      </c>
      <c r="U40" s="1">
        <v>8.0199999999999994E-2</v>
      </c>
      <c r="V40" s="1">
        <v>7.51E-2</v>
      </c>
      <c r="W40" s="1">
        <v>8.1600000000000006E-2</v>
      </c>
      <c r="X40" s="1">
        <v>8.1500000000000003E-2</v>
      </c>
      <c r="Y40" s="1">
        <v>8.0600000000000005E-2</v>
      </c>
    </row>
    <row r="41" spans="1:25" x14ac:dyDescent="0.3">
      <c r="A41" s="3">
        <f t="shared" si="0"/>
        <v>1.3717421124828532E-2</v>
      </c>
      <c r="B41" s="1">
        <v>0.1023</v>
      </c>
      <c r="C41" s="1">
        <v>8.0699999999999994E-2</v>
      </c>
      <c r="D41" s="1">
        <v>9.64E-2</v>
      </c>
      <c r="E41" s="1">
        <v>7.1400000000000005E-2</v>
      </c>
      <c r="F41" s="1">
        <v>7.8700000000000006E-2</v>
      </c>
      <c r="G41" s="1">
        <v>7.0400000000000004E-2</v>
      </c>
      <c r="H41" s="1">
        <v>9.3899999999999997E-2</v>
      </c>
      <c r="I41" s="1">
        <v>9.2700000000000005E-2</v>
      </c>
      <c r="J41" s="1">
        <v>9.9400000000000002E-2</v>
      </c>
      <c r="K41" s="1">
        <v>7.46E-2</v>
      </c>
      <c r="L41" s="1">
        <v>7.3200000000000001E-2</v>
      </c>
      <c r="M41" s="1">
        <v>7.2900000000000006E-2</v>
      </c>
      <c r="N41" s="1">
        <v>7.2599999999999998E-2</v>
      </c>
      <c r="O41" s="1">
        <v>7.1599999999999997E-2</v>
      </c>
      <c r="P41" s="1">
        <v>7.3200000000000001E-2</v>
      </c>
      <c r="Q41" s="1">
        <v>7.4399999999999994E-2</v>
      </c>
      <c r="R41" s="1">
        <v>8.1199999999999994E-2</v>
      </c>
      <c r="S41" s="1">
        <v>7.0300000000000001E-2</v>
      </c>
      <c r="T41" s="1">
        <v>7.2599999999999998E-2</v>
      </c>
      <c r="U41" s="1">
        <v>7.3999999999999996E-2</v>
      </c>
      <c r="V41" s="1">
        <v>7.1800000000000003E-2</v>
      </c>
      <c r="W41" s="1">
        <v>7.7600000000000002E-2</v>
      </c>
      <c r="X41" s="1">
        <v>8.0500000000000002E-2</v>
      </c>
      <c r="Y41" s="1">
        <v>7.6700000000000004E-2</v>
      </c>
    </row>
    <row r="42" spans="1:25" x14ac:dyDescent="0.3">
      <c r="A42" s="3">
        <f t="shared" si="0"/>
        <v>4.5724737082761769E-3</v>
      </c>
      <c r="B42" s="1">
        <v>8.7099999999999997E-2</v>
      </c>
      <c r="C42" s="1">
        <v>8.3900000000000002E-2</v>
      </c>
      <c r="D42" s="1">
        <v>8.1900000000000001E-2</v>
      </c>
      <c r="E42" s="1">
        <v>7.1099999999999997E-2</v>
      </c>
      <c r="F42" s="1">
        <v>7.2800000000000004E-2</v>
      </c>
      <c r="G42" s="1">
        <v>7.0099999999999996E-2</v>
      </c>
      <c r="H42" s="1">
        <v>7.9100000000000004E-2</v>
      </c>
      <c r="I42" s="1">
        <v>8.4599999999999995E-2</v>
      </c>
      <c r="J42" s="1">
        <v>8.7499999999999994E-2</v>
      </c>
      <c r="K42" s="1">
        <v>7.5399999999999995E-2</v>
      </c>
      <c r="L42" s="1">
        <v>7.1499999999999994E-2</v>
      </c>
      <c r="M42" s="1">
        <v>6.9599999999999995E-2</v>
      </c>
      <c r="N42" s="1">
        <v>7.22E-2</v>
      </c>
      <c r="O42" s="1">
        <v>7.0499999999999993E-2</v>
      </c>
      <c r="P42" s="1">
        <v>7.0900000000000005E-2</v>
      </c>
      <c r="Q42" s="1">
        <v>6.9199999999999998E-2</v>
      </c>
      <c r="R42" s="1">
        <v>7.8E-2</v>
      </c>
      <c r="S42" s="1">
        <v>6.7900000000000002E-2</v>
      </c>
      <c r="T42" s="1">
        <v>6.8500000000000005E-2</v>
      </c>
      <c r="U42" s="1">
        <v>7.0400000000000004E-2</v>
      </c>
      <c r="V42" s="1">
        <v>6.93E-2</v>
      </c>
      <c r="W42" s="1">
        <v>7.1800000000000003E-2</v>
      </c>
      <c r="X42" s="1">
        <v>7.3499999999999996E-2</v>
      </c>
      <c r="Y42" s="1">
        <v>7.2599999999999998E-2</v>
      </c>
    </row>
    <row r="43" spans="1:25" ht="25.8" x14ac:dyDescent="0.5">
      <c r="A43" s="6"/>
      <c r="B43" s="13" t="s">
        <v>81</v>
      </c>
      <c r="C43" s="13"/>
      <c r="D43" s="13"/>
      <c r="E43" s="14" t="s">
        <v>82</v>
      </c>
      <c r="F43" s="15"/>
      <c r="G43" s="16"/>
      <c r="H43" s="17" t="s">
        <v>83</v>
      </c>
      <c r="I43" s="18"/>
      <c r="J43" s="19"/>
      <c r="K43" s="20" t="s">
        <v>84</v>
      </c>
      <c r="L43" s="21"/>
      <c r="M43" s="22"/>
      <c r="N43" s="23" t="s">
        <v>85</v>
      </c>
      <c r="O43" s="24"/>
      <c r="P43" s="25"/>
      <c r="Q43" s="17" t="s">
        <v>86</v>
      </c>
      <c r="R43" s="18"/>
      <c r="S43" s="19"/>
      <c r="T43" s="7" t="s">
        <v>87</v>
      </c>
      <c r="U43" s="8"/>
      <c r="V43" s="9"/>
      <c r="W43" s="10" t="s">
        <v>88</v>
      </c>
      <c r="X43" s="11"/>
      <c r="Y43" s="12"/>
    </row>
    <row r="44" spans="1:25" x14ac:dyDescent="0.3">
      <c r="A44" s="3">
        <v>10</v>
      </c>
      <c r="B44" s="1">
        <v>2.6665000000000001</v>
      </c>
      <c r="C44" s="1">
        <v>2.8016000000000001</v>
      </c>
      <c r="D44" s="1">
        <v>2.4630000000000001</v>
      </c>
      <c r="E44" s="1">
        <v>0.24440000000000001</v>
      </c>
      <c r="F44" s="1">
        <v>0.22220000000000001</v>
      </c>
      <c r="G44" s="1">
        <v>0.2233</v>
      </c>
      <c r="H44" s="1">
        <v>0.43959999999999999</v>
      </c>
      <c r="I44" s="1">
        <v>0.41880000000000001</v>
      </c>
      <c r="J44" s="1">
        <v>0.50260000000000005</v>
      </c>
      <c r="K44" s="1">
        <v>0.63190000000000002</v>
      </c>
      <c r="L44" s="1">
        <v>0.4874</v>
      </c>
      <c r="M44" s="1">
        <v>0.56359999999999999</v>
      </c>
      <c r="N44" s="1">
        <v>1.4005000000000001</v>
      </c>
      <c r="O44" s="1">
        <v>1.4756</v>
      </c>
      <c r="P44" s="1">
        <v>1.7503</v>
      </c>
      <c r="Q44" s="1">
        <v>3.4352</v>
      </c>
      <c r="R44" s="1">
        <v>3.4518</v>
      </c>
      <c r="S44" s="1">
        <v>3.4672999999999998</v>
      </c>
      <c r="T44" s="1">
        <v>3.38</v>
      </c>
      <c r="U44" s="1">
        <v>3.3285</v>
      </c>
      <c r="V44" s="1">
        <v>3.3656999999999999</v>
      </c>
      <c r="W44" s="1">
        <v>1.4888999999999999</v>
      </c>
      <c r="X44" s="1">
        <v>1.8254999999999999</v>
      </c>
      <c r="Y44" s="1">
        <v>1.6278999999999999</v>
      </c>
    </row>
    <row r="45" spans="1:25" x14ac:dyDescent="0.3">
      <c r="A45" s="3">
        <f>A44/3</f>
        <v>3.3333333333333335</v>
      </c>
      <c r="B45" s="1">
        <v>2.3557000000000001</v>
      </c>
      <c r="C45" s="1">
        <v>2.6025999999999998</v>
      </c>
      <c r="D45" s="1">
        <v>2.1743999999999999</v>
      </c>
      <c r="E45" s="1">
        <v>0.15079999999999999</v>
      </c>
      <c r="F45" s="1">
        <v>0.17030000000000001</v>
      </c>
      <c r="G45" s="1">
        <v>0.15140000000000001</v>
      </c>
      <c r="H45" s="1">
        <v>0.21779999999999999</v>
      </c>
      <c r="I45" s="1">
        <v>0.27479999999999999</v>
      </c>
      <c r="J45" s="1">
        <v>0.29330000000000001</v>
      </c>
      <c r="K45" s="1">
        <v>0.36030000000000001</v>
      </c>
      <c r="L45" s="1">
        <v>0.34849999999999998</v>
      </c>
      <c r="M45" s="1">
        <v>0.33379999999999999</v>
      </c>
      <c r="N45" s="1">
        <v>0.82850000000000001</v>
      </c>
      <c r="O45" s="1">
        <v>1.1071</v>
      </c>
      <c r="P45" s="1">
        <v>1.3484</v>
      </c>
      <c r="Q45" s="1">
        <v>3.3723999999999998</v>
      </c>
      <c r="R45" s="1">
        <v>3.3841999999999999</v>
      </c>
      <c r="S45" s="1">
        <v>3.3696000000000002</v>
      </c>
      <c r="T45" s="1">
        <v>3.3523999999999998</v>
      </c>
      <c r="U45" s="1">
        <v>3.339</v>
      </c>
      <c r="V45" s="1">
        <v>3.3250999999999999</v>
      </c>
      <c r="W45" s="1">
        <v>1.2781</v>
      </c>
      <c r="X45" s="1">
        <v>1.3489</v>
      </c>
      <c r="Y45" s="1">
        <v>1.0091000000000001</v>
      </c>
    </row>
    <row r="46" spans="1:25" x14ac:dyDescent="0.3">
      <c r="A46" s="3">
        <f t="shared" ref="A46:A51" si="1">A45/3</f>
        <v>1.1111111111111112</v>
      </c>
      <c r="B46" s="1">
        <v>2.1316999999999999</v>
      </c>
      <c r="C46" s="1">
        <v>2.6286</v>
      </c>
      <c r="D46" s="1">
        <v>1.7428999999999999</v>
      </c>
      <c r="E46" s="1">
        <v>0.1071</v>
      </c>
      <c r="F46" s="1">
        <v>9.7699999999999995E-2</v>
      </c>
      <c r="G46" s="1">
        <v>8.8800000000000004E-2</v>
      </c>
      <c r="H46" s="1">
        <v>0.2152</v>
      </c>
      <c r="I46" s="1">
        <v>0.1993</v>
      </c>
      <c r="J46" s="1">
        <v>0.22989999999999999</v>
      </c>
      <c r="K46" s="1">
        <v>0.20930000000000001</v>
      </c>
      <c r="L46" s="1">
        <v>0.22</v>
      </c>
      <c r="M46" s="1">
        <v>0.2261</v>
      </c>
      <c r="N46" s="1">
        <v>0.88319999999999999</v>
      </c>
      <c r="O46" s="1">
        <v>1.0443</v>
      </c>
      <c r="P46" s="1">
        <v>1.0122</v>
      </c>
      <c r="Q46" s="1">
        <v>3.3740999999999999</v>
      </c>
      <c r="R46" s="1">
        <v>3.3668999999999998</v>
      </c>
      <c r="S46" s="1">
        <v>3.3477999999999999</v>
      </c>
      <c r="T46" s="1">
        <v>3.3414000000000001</v>
      </c>
      <c r="U46" s="1">
        <v>3.3389000000000002</v>
      </c>
      <c r="V46" s="1">
        <v>3.3515000000000001</v>
      </c>
      <c r="W46" s="1">
        <v>0.96299999999999997</v>
      </c>
      <c r="X46" s="1">
        <v>0.74239999999999995</v>
      </c>
      <c r="Y46" s="1">
        <v>0.68689999999999996</v>
      </c>
    </row>
    <row r="47" spans="1:25" x14ac:dyDescent="0.3">
      <c r="A47" s="3">
        <f t="shared" si="1"/>
        <v>0.37037037037037041</v>
      </c>
      <c r="B47" s="1">
        <v>1.8308</v>
      </c>
      <c r="C47" s="1">
        <v>2.3222999999999998</v>
      </c>
      <c r="D47" s="1">
        <v>1.7644</v>
      </c>
      <c r="E47" s="1">
        <v>9.11E-2</v>
      </c>
      <c r="F47" s="1">
        <v>8.8599999999999998E-2</v>
      </c>
      <c r="G47" s="1">
        <v>8.72E-2</v>
      </c>
      <c r="H47" s="1">
        <v>0.16289999999999999</v>
      </c>
      <c r="I47" s="1">
        <v>0.1719</v>
      </c>
      <c r="J47" s="1">
        <v>0.1411</v>
      </c>
      <c r="K47" s="1">
        <v>0.21179999999999999</v>
      </c>
      <c r="L47" s="1">
        <v>0.15709999999999999</v>
      </c>
      <c r="M47" s="1">
        <v>0.15110000000000001</v>
      </c>
      <c r="N47" s="1">
        <v>0.81659999999999999</v>
      </c>
      <c r="O47" s="1">
        <v>0.90359999999999996</v>
      </c>
      <c r="P47" s="1">
        <v>0.71409999999999996</v>
      </c>
      <c r="Q47" s="1">
        <v>3.3706999999999998</v>
      </c>
      <c r="R47" s="1">
        <v>3.3723999999999998</v>
      </c>
      <c r="S47" s="1">
        <v>3.3576999999999999</v>
      </c>
      <c r="T47" s="1">
        <v>3.2385000000000002</v>
      </c>
      <c r="U47" s="1">
        <v>3.3294999999999999</v>
      </c>
      <c r="V47" s="1">
        <v>3.3506</v>
      </c>
      <c r="W47" s="1">
        <v>0.84540000000000004</v>
      </c>
      <c r="X47" s="1">
        <v>0.79100000000000004</v>
      </c>
      <c r="Y47" s="1">
        <v>0.43730000000000002</v>
      </c>
    </row>
    <row r="48" spans="1:25" x14ac:dyDescent="0.3">
      <c r="A48" s="3">
        <f t="shared" si="1"/>
        <v>0.1234567901234568</v>
      </c>
      <c r="B48" s="1">
        <v>2.1110000000000002</v>
      </c>
      <c r="C48" s="1">
        <v>1.8503000000000001</v>
      </c>
      <c r="D48" s="1">
        <v>1.2605999999999999</v>
      </c>
      <c r="E48" s="1">
        <v>8.1699999999999995E-2</v>
      </c>
      <c r="F48" s="1">
        <v>7.9899999999999999E-2</v>
      </c>
      <c r="G48" s="1">
        <v>8.0799999999999997E-2</v>
      </c>
      <c r="H48" s="1">
        <v>0.1244</v>
      </c>
      <c r="I48" s="1">
        <v>0.13109999999999999</v>
      </c>
      <c r="J48" s="1">
        <v>0.15659999999999999</v>
      </c>
      <c r="K48" s="1">
        <v>0.13300000000000001</v>
      </c>
      <c r="L48" s="1">
        <v>0.1234</v>
      </c>
      <c r="M48" s="1">
        <v>0.124</v>
      </c>
      <c r="N48" s="1">
        <v>0.58609999999999995</v>
      </c>
      <c r="O48" s="1">
        <v>0.43669999999999998</v>
      </c>
      <c r="P48" s="1">
        <v>0.45100000000000001</v>
      </c>
      <c r="Q48" s="1">
        <v>3.3889</v>
      </c>
      <c r="R48" s="1">
        <v>3.3492999999999999</v>
      </c>
      <c r="S48" s="1">
        <v>3.3639000000000001</v>
      </c>
      <c r="T48" s="1">
        <v>3.3369</v>
      </c>
      <c r="U48" s="1">
        <v>3.2844000000000002</v>
      </c>
      <c r="V48" s="1">
        <v>3.3488000000000002</v>
      </c>
      <c r="W48" s="1">
        <v>0.38990000000000002</v>
      </c>
      <c r="X48" s="1">
        <v>0.57679999999999998</v>
      </c>
      <c r="Y48" s="1">
        <v>0.27689999999999998</v>
      </c>
    </row>
    <row r="49" spans="1:25" x14ac:dyDescent="0.3">
      <c r="A49" s="3">
        <f t="shared" si="1"/>
        <v>4.1152263374485597E-2</v>
      </c>
      <c r="B49" s="1">
        <v>1.0755999999999999</v>
      </c>
      <c r="C49" s="1">
        <v>1.222</v>
      </c>
      <c r="D49" s="1">
        <v>1.1403000000000001</v>
      </c>
      <c r="E49" s="1">
        <v>7.7399999999999997E-2</v>
      </c>
      <c r="F49" s="1">
        <v>7.7600000000000002E-2</v>
      </c>
      <c r="G49" s="1">
        <v>7.2900000000000006E-2</v>
      </c>
      <c r="H49" s="1">
        <v>0.1032</v>
      </c>
      <c r="I49" s="1">
        <v>0.1067</v>
      </c>
      <c r="J49" s="1">
        <v>0.1128</v>
      </c>
      <c r="K49" s="1">
        <v>0.1052</v>
      </c>
      <c r="L49" s="1">
        <v>9.7600000000000006E-2</v>
      </c>
      <c r="M49" s="1">
        <v>0.10489999999999999</v>
      </c>
      <c r="N49" s="1">
        <v>0.2727</v>
      </c>
      <c r="O49" s="1">
        <v>0.22120000000000001</v>
      </c>
      <c r="P49" s="1">
        <v>0.40899999999999997</v>
      </c>
      <c r="Q49" s="1">
        <v>3.3544</v>
      </c>
      <c r="R49" s="1">
        <v>3.3075000000000001</v>
      </c>
      <c r="S49" s="1">
        <v>3.1635</v>
      </c>
      <c r="T49" s="1">
        <v>3.2092000000000001</v>
      </c>
      <c r="U49" s="1">
        <v>3.0516999999999999</v>
      </c>
      <c r="V49" s="1">
        <v>3.2229000000000001</v>
      </c>
      <c r="W49" s="1">
        <v>0.26029999999999998</v>
      </c>
      <c r="X49" s="1">
        <v>0.22589999999999999</v>
      </c>
      <c r="Y49" s="1">
        <v>0.19270000000000001</v>
      </c>
    </row>
    <row r="50" spans="1:25" x14ac:dyDescent="0.3">
      <c r="A50" s="3">
        <f t="shared" si="1"/>
        <v>1.3717421124828532E-2</v>
      </c>
      <c r="B50" s="1">
        <v>1.0321</v>
      </c>
      <c r="C50" s="1">
        <v>0.93820000000000003</v>
      </c>
      <c r="D50" s="1">
        <v>1.0526</v>
      </c>
      <c r="E50" s="1">
        <v>7.3200000000000001E-2</v>
      </c>
      <c r="F50" s="1">
        <v>7.1800000000000003E-2</v>
      </c>
      <c r="G50" s="1">
        <v>7.2599999999999998E-2</v>
      </c>
      <c r="H50" s="1">
        <v>9.8500000000000004E-2</v>
      </c>
      <c r="I50" s="1">
        <v>9.6299999999999997E-2</v>
      </c>
      <c r="J50" s="1">
        <v>9.8500000000000004E-2</v>
      </c>
      <c r="K50" s="1">
        <v>0.1013</v>
      </c>
      <c r="L50" s="1">
        <v>9.5600000000000004E-2</v>
      </c>
      <c r="M50" s="1">
        <v>8.7900000000000006E-2</v>
      </c>
      <c r="N50" s="1">
        <v>0.18509999999999999</v>
      </c>
      <c r="O50" s="1">
        <v>0.19439999999999999</v>
      </c>
      <c r="P50" s="1">
        <v>0.18559999999999999</v>
      </c>
      <c r="Q50" s="1">
        <v>3.2911999999999999</v>
      </c>
      <c r="R50" s="1">
        <v>3.1084000000000001</v>
      </c>
      <c r="S50" s="1">
        <v>2.4260999999999999</v>
      </c>
      <c r="T50" s="1">
        <v>2.0234999999999999</v>
      </c>
      <c r="U50" s="1">
        <v>1.6879999999999999</v>
      </c>
      <c r="V50" s="1">
        <v>2.5028000000000001</v>
      </c>
      <c r="W50" s="1">
        <v>0.14699999999999999</v>
      </c>
      <c r="X50" s="1">
        <v>0.13220000000000001</v>
      </c>
      <c r="Y50" s="1">
        <v>0.127</v>
      </c>
    </row>
    <row r="51" spans="1:25" x14ac:dyDescent="0.3">
      <c r="A51" s="3">
        <f t="shared" si="1"/>
        <v>4.5724737082761769E-3</v>
      </c>
      <c r="B51" s="1">
        <v>0.40479999999999999</v>
      </c>
      <c r="C51" s="1">
        <v>0.4471</v>
      </c>
      <c r="D51" s="1">
        <v>0.46050000000000002</v>
      </c>
      <c r="E51" s="1">
        <v>7.3599999999999999E-2</v>
      </c>
      <c r="F51" s="1">
        <v>7.0999999999999994E-2</v>
      </c>
      <c r="G51" s="1">
        <v>7.2999999999999995E-2</v>
      </c>
      <c r="H51" s="1">
        <v>8.48E-2</v>
      </c>
      <c r="I51" s="1">
        <v>8.0399999999999999E-2</v>
      </c>
      <c r="J51" s="1">
        <v>8.8300000000000003E-2</v>
      </c>
      <c r="K51" s="1">
        <v>9.2200000000000004E-2</v>
      </c>
      <c r="L51" s="1">
        <v>7.7200000000000005E-2</v>
      </c>
      <c r="M51" s="1">
        <v>7.9500000000000001E-2</v>
      </c>
      <c r="N51" s="1">
        <v>0.1144</v>
      </c>
      <c r="O51" s="1">
        <v>0.13569999999999999</v>
      </c>
      <c r="P51" s="1">
        <v>0.108</v>
      </c>
      <c r="Q51" s="1">
        <v>1.8671</v>
      </c>
      <c r="R51" s="1">
        <v>2.5629</v>
      </c>
      <c r="S51" s="1">
        <v>1.7458</v>
      </c>
      <c r="T51" s="1">
        <v>1.0234000000000001</v>
      </c>
      <c r="U51" s="1">
        <v>1.1595</v>
      </c>
      <c r="V51" s="1">
        <v>1.2746</v>
      </c>
      <c r="W51" s="1">
        <v>8.9399999999999993E-2</v>
      </c>
      <c r="X51" s="1">
        <v>9.6100000000000005E-2</v>
      </c>
      <c r="Y51" s="1">
        <v>8.4099999999999994E-2</v>
      </c>
    </row>
    <row r="52" spans="1:25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25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spans="1:25" x14ac:dyDescent="0.3">
      <c r="A54" s="1" t="s">
        <v>65</v>
      </c>
      <c r="B54" s="1"/>
      <c r="C54" s="1"/>
      <c r="D54" s="1"/>
      <c r="E54" s="1" t="s">
        <v>70</v>
      </c>
      <c r="F54" s="1"/>
      <c r="G54" s="1"/>
      <c r="H54" s="1"/>
      <c r="I54" s="1"/>
      <c r="J54" s="1"/>
      <c r="K54" s="1"/>
    </row>
    <row r="55" spans="1:25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25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</sheetData>
  <mergeCells count="16">
    <mergeCell ref="T34:V34"/>
    <mergeCell ref="W34:Y34"/>
    <mergeCell ref="B43:D43"/>
    <mergeCell ref="E43:G43"/>
    <mergeCell ref="H43:J43"/>
    <mergeCell ref="K43:M43"/>
    <mergeCell ref="N43:P43"/>
    <mergeCell ref="Q43:S43"/>
    <mergeCell ref="T43:V43"/>
    <mergeCell ref="W43:Y43"/>
    <mergeCell ref="B34:D34"/>
    <mergeCell ref="E34:G34"/>
    <mergeCell ref="H34:J34"/>
    <mergeCell ref="K34:M34"/>
    <mergeCell ref="N34:P34"/>
    <mergeCell ref="Q34:S34"/>
  </mergeCells>
  <conditionalFormatting sqref="B35:Y42 B44:Y5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Wuhan</vt:lpstr>
      <vt:lpstr>Omicron BA1</vt:lpstr>
      <vt:lpstr>Omicron BA4+5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SparkUser</dc:creator>
  <cp:lastModifiedBy>Pham, Le Thanh Mai</cp:lastModifiedBy>
  <dcterms:created xsi:type="dcterms:W3CDTF">2023-02-08T23:11:37Z</dcterms:created>
  <dcterms:modified xsi:type="dcterms:W3CDTF">2023-02-10T05:43:00Z</dcterms:modified>
</cp:coreProperties>
</file>